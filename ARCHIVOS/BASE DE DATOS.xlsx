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0439e01e6d6e76b/Documentos/farmacia/RAUL HORMAZABAL/"/>
    </mc:Choice>
  </mc:AlternateContent>
  <xr:revisionPtr revIDLastSave="0" documentId="8_{E8CFEB2B-E5B8-478B-973D-EA1A1ECE2610}" xr6:coauthVersionLast="47" xr6:coauthVersionMax="47" xr10:uidLastSave="{00000000-0000-0000-0000-000000000000}"/>
  <bookViews>
    <workbookView xWindow="-108" yWindow="-108" windowWidth="23256" windowHeight="12456" xr2:uid="{A7B32503-5CC2-42BE-98D0-6DF7E0A0F067}"/>
  </bookViews>
  <sheets>
    <sheet name="FARMACIA" sheetId="1" r:id="rId1"/>
    <sheet name="Vacaciones" sheetId="7" r:id="rId2"/>
    <sheet name="PART TIME" sheetId="4" r:id="rId3"/>
    <sheet name="EX FUNCIONARIOS" sheetId="5" r:id="rId4"/>
    <sheet name="PERFUMERIA" sheetId="3" r:id="rId5"/>
    <sheet name="Fichas" sheetId="2" r:id="rId6"/>
  </sheets>
  <externalReferences>
    <externalReference r:id="rId7"/>
  </externalReferences>
  <definedNames>
    <definedName name="_xlnm._FilterDatabase" localSheetId="0" hidden="1">FARMACIA!$A$2:$AE$2</definedName>
    <definedName name="_xlnm._FilterDatabase" localSheetId="1" hidden="1">Vacaciones!$A$2:$E$2</definedName>
    <definedName name="serv">'[1]Detalle de Pagos'!$B$7</definedName>
    <definedName name="Tipo_cuenta">[1]Hoja2!$K$2:$K$4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1" l="1"/>
  <c r="E27" i="1"/>
  <c r="E28" i="1"/>
  <c r="E29" i="1"/>
  <c r="E30" i="1"/>
  <c r="E33" i="5"/>
  <c r="E32" i="5"/>
  <c r="E31" i="5"/>
  <c r="E30" i="5"/>
  <c r="E29" i="5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A1" i="7"/>
  <c r="E25" i="1"/>
  <c r="E31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3" i="1"/>
  <c r="A1" i="5"/>
  <c r="P10" i="5" s="1"/>
  <c r="A1" i="4"/>
  <c r="E4" i="4" s="1"/>
  <c r="A1" i="1"/>
  <c r="K26" i="1" l="1"/>
  <c r="L26" i="1"/>
  <c r="M26" i="1"/>
  <c r="M25" i="1"/>
  <c r="M27" i="1"/>
  <c r="M28" i="1"/>
  <c r="M29" i="1"/>
  <c r="M30" i="1"/>
  <c r="M31" i="1"/>
  <c r="L25" i="1"/>
  <c r="L27" i="1"/>
  <c r="L28" i="1"/>
  <c r="L29" i="1"/>
  <c r="L30" i="1"/>
  <c r="L31" i="1"/>
  <c r="K27" i="1"/>
  <c r="K28" i="1"/>
  <c r="K29" i="1"/>
  <c r="K30" i="1"/>
  <c r="K31" i="1"/>
  <c r="M33" i="5"/>
  <c r="L33" i="5"/>
  <c r="K33" i="5"/>
  <c r="M32" i="5"/>
  <c r="L32" i="5"/>
  <c r="K32" i="5"/>
  <c r="M31" i="5"/>
  <c r="L31" i="5"/>
  <c r="K31" i="5"/>
  <c r="M30" i="5"/>
  <c r="L30" i="5"/>
  <c r="K30" i="5"/>
  <c r="T29" i="5"/>
  <c r="M29" i="5"/>
  <c r="L29" i="5"/>
  <c r="K29" i="5"/>
  <c r="K25" i="1"/>
  <c r="K4" i="1"/>
  <c r="M20" i="1"/>
  <c r="L20" i="1"/>
  <c r="K20" i="1"/>
  <c r="M19" i="1"/>
  <c r="L19" i="1"/>
  <c r="K19" i="1"/>
  <c r="L23" i="1"/>
  <c r="M23" i="1"/>
  <c r="K23" i="1"/>
  <c r="L21" i="1"/>
  <c r="K21" i="1"/>
  <c r="M21" i="1"/>
  <c r="M22" i="1"/>
  <c r="L22" i="1"/>
  <c r="K22" i="1"/>
  <c r="K27" i="5"/>
  <c r="J27" i="5"/>
  <c r="L27" i="5"/>
  <c r="L26" i="5"/>
  <c r="J26" i="5"/>
  <c r="K26" i="5"/>
  <c r="S26" i="5"/>
  <c r="J25" i="5"/>
  <c r="K25" i="5"/>
  <c r="L25" i="5"/>
  <c r="S25" i="5"/>
  <c r="J24" i="5"/>
  <c r="K24" i="5"/>
  <c r="L24" i="5"/>
  <c r="S24" i="5"/>
  <c r="J23" i="5"/>
  <c r="K23" i="5"/>
  <c r="L23" i="5"/>
  <c r="S23" i="5"/>
  <c r="L21" i="5"/>
  <c r="K21" i="5"/>
  <c r="K22" i="5"/>
  <c r="J20" i="5"/>
  <c r="K20" i="5"/>
  <c r="L20" i="5"/>
  <c r="J21" i="5"/>
  <c r="S21" i="5"/>
  <c r="J22" i="5"/>
  <c r="L22" i="5"/>
  <c r="S20" i="5"/>
  <c r="S22" i="5"/>
  <c r="K14" i="4"/>
  <c r="E14" i="4"/>
  <c r="M18" i="1"/>
  <c r="M14" i="1"/>
  <c r="M8" i="1"/>
  <c r="M3" i="1"/>
  <c r="M24" i="1"/>
  <c r="M7" i="1"/>
  <c r="M10" i="1"/>
  <c r="M5" i="1"/>
  <c r="M9" i="1"/>
  <c r="M4" i="1"/>
  <c r="M17" i="1"/>
  <c r="M13" i="1"/>
  <c r="M6" i="1"/>
  <c r="M16" i="1"/>
  <c r="M15" i="1"/>
  <c r="M12" i="1"/>
  <c r="M11" i="1"/>
  <c r="L12" i="1"/>
  <c r="L11" i="1"/>
  <c r="L15" i="1"/>
  <c r="L10" i="1"/>
  <c r="L5" i="1"/>
  <c r="L9" i="1"/>
  <c r="L4" i="1"/>
  <c r="L18" i="1"/>
  <c r="L8" i="1"/>
  <c r="L24" i="1"/>
  <c r="L7" i="1"/>
  <c r="L17" i="1"/>
  <c r="L13" i="1"/>
  <c r="L6" i="1"/>
  <c r="L14" i="1"/>
  <c r="L3" i="1"/>
  <c r="L16" i="1"/>
  <c r="K16" i="1"/>
  <c r="K15" i="1"/>
  <c r="K12" i="1"/>
  <c r="K11" i="1"/>
  <c r="K9" i="1"/>
  <c r="K18" i="1"/>
  <c r="K14" i="1"/>
  <c r="K8" i="1"/>
  <c r="K3" i="1"/>
  <c r="K24" i="1"/>
  <c r="K7" i="1"/>
  <c r="K17" i="1"/>
  <c r="K13" i="1"/>
  <c r="K6" i="1"/>
  <c r="K10" i="1"/>
  <c r="K5" i="1"/>
  <c r="K13" i="4"/>
  <c r="E13" i="4"/>
  <c r="K11" i="4"/>
  <c r="E11" i="4"/>
  <c r="K12" i="4"/>
  <c r="E12" i="4"/>
  <c r="E8" i="4"/>
  <c r="E7" i="4"/>
  <c r="E6" i="4"/>
  <c r="E10" i="4"/>
  <c r="E9" i="4"/>
  <c r="E5" i="4"/>
  <c r="K10" i="4"/>
  <c r="K9" i="4"/>
  <c r="K8" i="4"/>
  <c r="Q13" i="5"/>
  <c r="T10" i="1"/>
  <c r="T14" i="1"/>
  <c r="T24" i="1"/>
  <c r="T17" i="1"/>
  <c r="T16" i="1"/>
  <c r="T12" i="1"/>
  <c r="T8" i="1"/>
  <c r="T9" i="1"/>
  <c r="T11" i="1"/>
  <c r="K7" i="4"/>
  <c r="K6" i="4"/>
  <c r="K5" i="4"/>
  <c r="I6" i="5"/>
  <c r="P6" i="5"/>
  <c r="I9" i="5"/>
  <c r="I10" i="5"/>
  <c r="P9" i="5"/>
  <c r="P7" i="5"/>
  <c r="P11" i="5"/>
  <c r="I12" i="5"/>
  <c r="P12" i="5"/>
  <c r="I4" i="5"/>
  <c r="I7" i="5"/>
  <c r="I11" i="5"/>
  <c r="P4" i="5"/>
  <c r="I5" i="5"/>
  <c r="I8" i="5"/>
  <c r="P5" i="5"/>
  <c r="P8" i="5"/>
  <c r="K4" i="4"/>
  <c r="T7" i="1"/>
  <c r="T13" i="1"/>
  <c r="T6" i="1"/>
  <c r="T15" i="1"/>
  <c r="T4" i="1"/>
  <c r="T3" i="1"/>
  <c r="T5" i="1"/>
</calcChain>
</file>

<file path=xl/sharedStrings.xml><?xml version="1.0" encoding="utf-8"?>
<sst xmlns="http://schemas.openxmlformats.org/spreadsheetml/2006/main" count="965" uniqueCount="347">
  <si>
    <t>Edicson Andres</t>
  </si>
  <si>
    <t>Egas</t>
  </si>
  <si>
    <t>Espinosa</t>
  </si>
  <si>
    <t>Pasaporte/DNI</t>
  </si>
  <si>
    <t>Arturo Perez Canto 906</t>
  </si>
  <si>
    <t>M</t>
  </si>
  <si>
    <t>Vendedor</t>
  </si>
  <si>
    <t xml:space="preserve">Javier </t>
  </si>
  <si>
    <t>Davila</t>
  </si>
  <si>
    <t>Bigorra</t>
  </si>
  <si>
    <t>Run</t>
  </si>
  <si>
    <t>15/04/1996</t>
  </si>
  <si>
    <t>Av Oviedo Cavada 3996</t>
  </si>
  <si>
    <t>Paulina</t>
  </si>
  <si>
    <t>Castro</t>
  </si>
  <si>
    <t>Martinez</t>
  </si>
  <si>
    <t>Av. Oscar Bonilla 8617</t>
  </si>
  <si>
    <t>F</t>
  </si>
  <si>
    <t xml:space="preserve">Auxiliar Farmacéutico </t>
  </si>
  <si>
    <t xml:space="preserve">Ricardo Fabian </t>
  </si>
  <si>
    <t>Arevalo</t>
  </si>
  <si>
    <t>Salamanca</t>
  </si>
  <si>
    <t>18/07/1993</t>
  </si>
  <si>
    <t>Heroes de la Concepción 9662</t>
  </si>
  <si>
    <t>Bodeguero</t>
  </si>
  <si>
    <t xml:space="preserve">Vianka </t>
  </si>
  <si>
    <t>Figueroa</t>
  </si>
  <si>
    <t>Matamoros</t>
  </si>
  <si>
    <t>Oficina Normandía 152</t>
  </si>
  <si>
    <t xml:space="preserve">Químico Farmacéutico </t>
  </si>
  <si>
    <t>Yennifer</t>
  </si>
  <si>
    <t>Matías Ignacio</t>
  </si>
  <si>
    <t>Tapia</t>
  </si>
  <si>
    <t>Hidalgo</t>
  </si>
  <si>
    <t>20/08/1996</t>
  </si>
  <si>
    <t>Pampa Unión 9097</t>
  </si>
  <si>
    <t>Encargado de compras</t>
  </si>
  <si>
    <t>Jeison David</t>
  </si>
  <si>
    <t>Arcos</t>
  </si>
  <si>
    <t>Toro</t>
  </si>
  <si>
    <t>AU096554</t>
  </si>
  <si>
    <t>22/02/1999</t>
  </si>
  <si>
    <t>Villa el Sol, casa  21</t>
  </si>
  <si>
    <t>Yenifer Nataliz</t>
  </si>
  <si>
    <t>Alcalá</t>
  </si>
  <si>
    <t>Moreno</t>
  </si>
  <si>
    <t>Sargento Candelaria 555</t>
  </si>
  <si>
    <t>Vendedora</t>
  </si>
  <si>
    <t>Ludivia</t>
  </si>
  <si>
    <t>Chiquito</t>
  </si>
  <si>
    <t>Osorio</t>
  </si>
  <si>
    <t>Esmeralda 2045</t>
  </si>
  <si>
    <t>Auxiliar de aseo</t>
  </si>
  <si>
    <t>Carla Coromoto</t>
  </si>
  <si>
    <t xml:space="preserve">Vivas </t>
  </si>
  <si>
    <t>Silva</t>
  </si>
  <si>
    <t>02/04/1993</t>
  </si>
  <si>
    <t>Oficina Anita 265</t>
  </si>
  <si>
    <t>Emmi</t>
  </si>
  <si>
    <t>Garcia</t>
  </si>
  <si>
    <t>Landaeta</t>
  </si>
  <si>
    <t>K</t>
  </si>
  <si>
    <t>24/08/1992</t>
  </si>
  <si>
    <t>Manuel Thompson 7757</t>
  </si>
  <si>
    <t>Francisca</t>
  </si>
  <si>
    <t>Reyes</t>
  </si>
  <si>
    <t>Hernández</t>
  </si>
  <si>
    <t>06/01/2000</t>
  </si>
  <si>
    <t>Bellavista 4351, depto. N</t>
  </si>
  <si>
    <t>Eduardo</t>
  </si>
  <si>
    <t>Contreras</t>
  </si>
  <si>
    <t>Oliveros</t>
  </si>
  <si>
    <t>08/02/1974</t>
  </si>
  <si>
    <t>Pasaje Ramadita 1529 Pob Rene Schennider</t>
  </si>
  <si>
    <t xml:space="preserve">Jessica </t>
  </si>
  <si>
    <t>Valenzuela</t>
  </si>
  <si>
    <t>Rojas</t>
  </si>
  <si>
    <t>08/03/1970</t>
  </si>
  <si>
    <t>Barrera</t>
  </si>
  <si>
    <t>Subida del Desierto 317</t>
  </si>
  <si>
    <t xml:space="preserve">Nicolas </t>
  </si>
  <si>
    <t>Correa</t>
  </si>
  <si>
    <t>Bravo</t>
  </si>
  <si>
    <t>11/05/1989</t>
  </si>
  <si>
    <t>Carlos Condell 2026 Dpto: 1902B</t>
  </si>
  <si>
    <t xml:space="preserve">Waleska </t>
  </si>
  <si>
    <t xml:space="preserve">Rojo </t>
  </si>
  <si>
    <t>Cruz</t>
  </si>
  <si>
    <t>20/05/1988</t>
  </si>
  <si>
    <t xml:space="preserve">Los Exploradores #14136 casa 105 </t>
  </si>
  <si>
    <t xml:space="preserve">Jaime Ignacio </t>
  </si>
  <si>
    <t>Villaroel</t>
  </si>
  <si>
    <t>Cavieres</t>
  </si>
  <si>
    <t>31/08/1995</t>
  </si>
  <si>
    <t>Eleuterio Ramirez 423</t>
  </si>
  <si>
    <t>Dayan</t>
  </si>
  <si>
    <t>Cortés</t>
  </si>
  <si>
    <t>Juan Luis</t>
  </si>
  <si>
    <t xml:space="preserve">Salamanca </t>
  </si>
  <si>
    <t>Lecaros</t>
  </si>
  <si>
    <t>Jefe Operaciones</t>
  </si>
  <si>
    <t>Marta Andrea</t>
  </si>
  <si>
    <t>Monzoncillo</t>
  </si>
  <si>
    <t>Soto</t>
  </si>
  <si>
    <t>Mamiña 1240</t>
  </si>
  <si>
    <t>Javiera</t>
  </si>
  <si>
    <t>García</t>
  </si>
  <si>
    <t>APELLIDO 1</t>
  </si>
  <si>
    <t>APELLIDO 2</t>
  </si>
  <si>
    <t>NOMBRES</t>
  </si>
  <si>
    <t>DOCUMENTO</t>
  </si>
  <si>
    <t>NUMERO</t>
  </si>
  <si>
    <t>DIGITO</t>
  </si>
  <si>
    <t>NACIONALIDAD</t>
  </si>
  <si>
    <t>COLOMBIANA</t>
  </si>
  <si>
    <t>CHILENA</t>
  </si>
  <si>
    <t>VENEZOLANA</t>
  </si>
  <si>
    <t>FECHA NACIMIENTO</t>
  </si>
  <si>
    <t>DIRECCION</t>
  </si>
  <si>
    <t>GENERO</t>
  </si>
  <si>
    <t>CARGO</t>
  </si>
  <si>
    <t>CODIGO</t>
  </si>
  <si>
    <t>Fecha Contrato</t>
  </si>
  <si>
    <t>SI</t>
  </si>
  <si>
    <t>EDAD</t>
  </si>
  <si>
    <t>ESTADO CIVIL</t>
  </si>
  <si>
    <t>CELULAR</t>
  </si>
  <si>
    <t>NIVEL EDUCACIONAL</t>
  </si>
  <si>
    <t>REGIMEN SALUD</t>
  </si>
  <si>
    <t>REGIMEN PREVISIONAL</t>
  </si>
  <si>
    <t>BANCO</t>
  </si>
  <si>
    <t>TIPO CUENTA</t>
  </si>
  <si>
    <t>FECHA CONTRATO</t>
  </si>
  <si>
    <t>REP. LEGAL</t>
  </si>
  <si>
    <t>TRABAJADOR</t>
  </si>
  <si>
    <t>FIRMADO</t>
  </si>
  <si>
    <t>ANTIGÜEDAD</t>
  </si>
  <si>
    <t>ENTREGA RIOHS</t>
  </si>
  <si>
    <t>DIVORCIADA</t>
  </si>
  <si>
    <t>MEDIA</t>
  </si>
  <si>
    <t>FONASA</t>
  </si>
  <si>
    <t>ING CAPITAL</t>
  </si>
  <si>
    <t>ESTADO</t>
  </si>
  <si>
    <t>VISTA</t>
  </si>
  <si>
    <t>NO</t>
  </si>
  <si>
    <t>SUPERIOR</t>
  </si>
  <si>
    <t>CUPRUM</t>
  </si>
  <si>
    <t>ITAU</t>
  </si>
  <si>
    <t>CORRIENTE</t>
  </si>
  <si>
    <t>Representante Legal</t>
  </si>
  <si>
    <t>DIVORCIADO</t>
  </si>
  <si>
    <t>SANTANDER</t>
  </si>
  <si>
    <t>CASADO</t>
  </si>
  <si>
    <t>PROVIDA</t>
  </si>
  <si>
    <t>CASADA</t>
  </si>
  <si>
    <t>FALABELLA</t>
  </si>
  <si>
    <t>Betancourt</t>
  </si>
  <si>
    <t>Yohana</t>
  </si>
  <si>
    <t>Buenos Aires 866</t>
  </si>
  <si>
    <t>SOLTERA</t>
  </si>
  <si>
    <t>Carlos Pérez Bretti 9742</t>
  </si>
  <si>
    <t>SOLTERO</t>
  </si>
  <si>
    <t>MODELO</t>
  </si>
  <si>
    <t>TECNICO</t>
  </si>
  <si>
    <t>ACTIVO</t>
  </si>
  <si>
    <t xml:space="preserve">FECHA </t>
  </si>
  <si>
    <t>Andrés</t>
  </si>
  <si>
    <t>Jiménez</t>
  </si>
  <si>
    <t>Jael</t>
  </si>
  <si>
    <t>Camila</t>
  </si>
  <si>
    <t>Krstulovic</t>
  </si>
  <si>
    <t>Mera</t>
  </si>
  <si>
    <t>Amalia</t>
  </si>
  <si>
    <t>Alfaro</t>
  </si>
  <si>
    <t>Tamara</t>
  </si>
  <si>
    <t>Guzmán</t>
  </si>
  <si>
    <t>Nataly</t>
  </si>
  <si>
    <t>Jofré</t>
  </si>
  <si>
    <t>María Patricia</t>
  </si>
  <si>
    <t>Orellana</t>
  </si>
  <si>
    <t>Manuel</t>
  </si>
  <si>
    <t>Castillo</t>
  </si>
  <si>
    <t>Magnolia</t>
  </si>
  <si>
    <t>Hermosilla</t>
  </si>
  <si>
    <t>Karen</t>
  </si>
  <si>
    <t>Elina</t>
  </si>
  <si>
    <t>Fernández</t>
  </si>
  <si>
    <t>NUMERO2</t>
  </si>
  <si>
    <t>Beltrán</t>
  </si>
  <si>
    <t>Claudia</t>
  </si>
  <si>
    <t>Gamero</t>
  </si>
  <si>
    <t>Alder</t>
  </si>
  <si>
    <t>Verónica</t>
  </si>
  <si>
    <t>Administrativa</t>
  </si>
  <si>
    <t>Jhon</t>
  </si>
  <si>
    <t>Ocampo</t>
  </si>
  <si>
    <t>Percy</t>
  </si>
  <si>
    <t>Díaz</t>
  </si>
  <si>
    <t>Valdivia</t>
  </si>
  <si>
    <t>Guarache</t>
  </si>
  <si>
    <t>Julio</t>
  </si>
  <si>
    <t>Bastián</t>
  </si>
  <si>
    <t>Ñaña</t>
  </si>
  <si>
    <t>CORREO ELECTRONICO</t>
  </si>
  <si>
    <t>dayanbarrera@gmail.com</t>
  </si>
  <si>
    <t>juanluis.salamanca@gmail.com</t>
  </si>
  <si>
    <t>FECHA INDEFINIDO</t>
  </si>
  <si>
    <t>Liquitay</t>
  </si>
  <si>
    <t>Mora</t>
  </si>
  <si>
    <t>Sandoval</t>
  </si>
  <si>
    <t>Galleguillos</t>
  </si>
  <si>
    <t>Marín</t>
  </si>
  <si>
    <t>Valdez</t>
  </si>
  <si>
    <t>Miranda</t>
  </si>
  <si>
    <t>Londoño</t>
  </si>
  <si>
    <t>Vera</t>
  </si>
  <si>
    <t>Araos</t>
  </si>
  <si>
    <t>Carrasco</t>
  </si>
  <si>
    <t>Karina Isabel</t>
  </si>
  <si>
    <t>Juan Ferra 7194</t>
  </si>
  <si>
    <t>araoscarrasco@gmail.com</t>
  </si>
  <si>
    <t>NIVEL SUPERIOR</t>
  </si>
  <si>
    <t>HABITAT</t>
  </si>
  <si>
    <t>FECHA RENOVACION</t>
  </si>
  <si>
    <t>RUN</t>
  </si>
  <si>
    <t>13-09-1978</t>
  </si>
  <si>
    <t xml:space="preserve">Román </t>
  </si>
  <si>
    <t>Karina</t>
  </si>
  <si>
    <t>26-03-1985</t>
  </si>
  <si>
    <t>11-09-1966</t>
  </si>
  <si>
    <t>Pasaje El Toldo 1369</t>
  </si>
  <si>
    <t>t.alfaromiranda9@hotmail.com</t>
  </si>
  <si>
    <t>BCI</t>
  </si>
  <si>
    <t>SUELDO BASE</t>
  </si>
  <si>
    <t>BONO</t>
  </si>
  <si>
    <t>MOV Y COL</t>
  </si>
  <si>
    <t>FECHA CAMBIO</t>
  </si>
  <si>
    <t>SUELDO BASE2</t>
  </si>
  <si>
    <t>BONO2</t>
  </si>
  <si>
    <t>MOV Y COL2</t>
  </si>
  <si>
    <t>CRUZ BLANCA</t>
  </si>
  <si>
    <t>josefa113@gmail.com</t>
  </si>
  <si>
    <t>vianka.figueroa.matamoros@gmail.com</t>
  </si>
  <si>
    <t>anegas3079@gmail.com</t>
  </si>
  <si>
    <t>Benito Ocampo 10825. Depto C 13</t>
  </si>
  <si>
    <t>1-151-007673-0</t>
  </si>
  <si>
    <t>pauly.castro.m@gmail.com</t>
  </si>
  <si>
    <t>eliafernandezgalleguillos@gmail.com</t>
  </si>
  <si>
    <t>yennyroman_22@hotmail.com</t>
  </si>
  <si>
    <t>marta.monzoncillo.soto@gmail.com</t>
  </si>
  <si>
    <t>BANMEDICA</t>
  </si>
  <si>
    <t>1025008264-9</t>
  </si>
  <si>
    <t>Juan Ferra 8195</t>
  </si>
  <si>
    <t>veronica.moreno.c77@gmail.com</t>
  </si>
  <si>
    <t>Del agua 9667, Villa las Palmas</t>
  </si>
  <si>
    <t>camilakrstulovic@gmail.com</t>
  </si>
  <si>
    <t>CHILE</t>
  </si>
  <si>
    <t>00-134-02296-03</t>
  </si>
  <si>
    <t>Adriana Zuanic 9501, casa 12</t>
  </si>
  <si>
    <t>amaliameramora@outlook.es</t>
  </si>
  <si>
    <t>PERUANA</t>
  </si>
  <si>
    <t>Guillermo Marconi 1230-C</t>
  </si>
  <si>
    <t>castillomagnolia720@gmail.com</t>
  </si>
  <si>
    <t>Ana María Ibazeta 7938</t>
  </si>
  <si>
    <t>mariajofre1967@gmail.com</t>
  </si>
  <si>
    <t>Llanquihue 3958</t>
  </si>
  <si>
    <t>atapia.san@gmail.com</t>
  </si>
  <si>
    <t>La Concepción 1695 B</t>
  </si>
  <si>
    <t>orellanamanuel58@gmail.com</t>
  </si>
  <si>
    <t>Baquedano 1391</t>
  </si>
  <si>
    <t>fredyocampo0611@gmail.com</t>
  </si>
  <si>
    <t>Nicolás Tirado 20, Depto. 508</t>
  </si>
  <si>
    <t>andrea.natg@gmail.com</t>
  </si>
  <si>
    <t>Luis Cruz Martínez 7482</t>
  </si>
  <si>
    <t>jaeljimenez97@gmail.com</t>
  </si>
  <si>
    <t>El Roble 6649</t>
  </si>
  <si>
    <t>claudia-b.v@hotmail.com</t>
  </si>
  <si>
    <t>Pasaje El Volcán 9641</t>
  </si>
  <si>
    <t>lt-sjaviera@hotmail.com</t>
  </si>
  <si>
    <t>Gina</t>
  </si>
  <si>
    <t>Yaneth</t>
  </si>
  <si>
    <t>Mario</t>
  </si>
  <si>
    <t>Chacalla</t>
  </si>
  <si>
    <t>Sánchez</t>
  </si>
  <si>
    <t>Justiniano</t>
  </si>
  <si>
    <t>FECHA INICIO</t>
  </si>
  <si>
    <t>PLAN VITAL</t>
  </si>
  <si>
    <t>Camilo</t>
  </si>
  <si>
    <t>Adriana</t>
  </si>
  <si>
    <t>González</t>
  </si>
  <si>
    <t>Scarlet</t>
  </si>
  <si>
    <t>Años</t>
  </si>
  <si>
    <t>Días</t>
  </si>
  <si>
    <t>Purrán</t>
  </si>
  <si>
    <t>Yuleidis</t>
  </si>
  <si>
    <t>Pacheco</t>
  </si>
  <si>
    <t>Breiner</t>
  </si>
  <si>
    <t>Hilda</t>
  </si>
  <si>
    <t>Valles</t>
  </si>
  <si>
    <t>Anco</t>
  </si>
  <si>
    <t>Estefania</t>
  </si>
  <si>
    <t>Huayraña</t>
  </si>
  <si>
    <t>Espinoza</t>
  </si>
  <si>
    <t>Daniela</t>
  </si>
  <si>
    <t>Zapata</t>
  </si>
  <si>
    <t>Lorenzo</t>
  </si>
  <si>
    <t>Maldonado</t>
  </si>
  <si>
    <t>Farías</t>
  </si>
  <si>
    <t>Sonia</t>
  </si>
  <si>
    <t>Condori</t>
  </si>
  <si>
    <t>Arena</t>
  </si>
  <si>
    <t>Mariana</t>
  </si>
  <si>
    <t>Fandiño</t>
  </si>
  <si>
    <t>Rubén</t>
  </si>
  <si>
    <t>Rodríguez</t>
  </si>
  <si>
    <t>Aravena</t>
  </si>
  <si>
    <t>Farias</t>
  </si>
  <si>
    <t>Márquez</t>
  </si>
  <si>
    <t>Campillay</t>
  </si>
  <si>
    <t>Peña</t>
  </si>
  <si>
    <t>Vilches</t>
  </si>
  <si>
    <t>Deyna</t>
  </si>
  <si>
    <t>Ochochoque</t>
  </si>
  <si>
    <t>Cinthya</t>
  </si>
  <si>
    <t>Administrativo</t>
  </si>
  <si>
    <t>BOLIVIANA</t>
  </si>
  <si>
    <t>2020</t>
  </si>
  <si>
    <t>2021</t>
  </si>
  <si>
    <t>2022</t>
  </si>
  <si>
    <t>2023</t>
  </si>
  <si>
    <t>2024</t>
  </si>
  <si>
    <t>2025</t>
  </si>
  <si>
    <t>2026</t>
  </si>
  <si>
    <t>2027</t>
  </si>
  <si>
    <t>Inicio Vacaciones</t>
  </si>
  <si>
    <t>Ardiles</t>
  </si>
  <si>
    <t>Ramírez</t>
  </si>
  <si>
    <t>Estephanie</t>
  </si>
  <si>
    <t>Meses</t>
  </si>
  <si>
    <t>Ayala</t>
  </si>
  <si>
    <t>Arauz</t>
  </si>
  <si>
    <t>María Eugenia</t>
  </si>
  <si>
    <t>muñoz</t>
  </si>
  <si>
    <t>León</t>
  </si>
  <si>
    <t>Bustamante</t>
  </si>
  <si>
    <t>Cristobal Matías</t>
  </si>
  <si>
    <t>Auxiliar de 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</si>
</sst>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[$-F800]dddd\,\ mmmm\ dd\,\ yyyy"/>
    <numFmt numFmtId="165" formatCode="dd/mm/yyyy;@"/>
    <numFmt numFmtId="166" formatCode="0.0"/>
  </numFmts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7" fillId="0" borderId="0"/>
  </cellStyleXfs>
  <cellXfs count="128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4" fontId="2" fillId="0" borderId="0" xfId="0" applyNumberFormat="1" applyFont="1"/>
    <xf numFmtId="14" fontId="2" fillId="0" borderId="0" xfId="0" applyNumberFormat="1" applyFont="1" applyAlignment="1">
      <alignment wrapText="1"/>
    </xf>
    <xf numFmtId="14" fontId="2" fillId="0" borderId="0" xfId="0" applyNumberFormat="1" applyFont="1" applyAlignment="1">
      <alignment horizontal="center" wrapText="1"/>
    </xf>
    <xf numFmtId="1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65" fontId="0" fillId="0" borderId="0" xfId="0" applyNumberFormat="1" applyAlignment="1">
      <alignment horizontal="center" wrapText="1"/>
    </xf>
    <xf numFmtId="164" fontId="0" fillId="0" borderId="0" xfId="0" applyNumberFormat="1" applyAlignment="1">
      <alignment horizontal="center" wrapText="1"/>
    </xf>
    <xf numFmtId="166" fontId="0" fillId="0" borderId="0" xfId="0" applyNumberFormat="1" applyAlignment="1">
      <alignment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166" fontId="0" fillId="0" borderId="0" xfId="0" applyNumberFormat="1" applyAlignment="1">
      <alignment horizontal="center" wrapText="1"/>
    </xf>
    <xf numFmtId="1" fontId="0" fillId="0" borderId="0" xfId="0" applyNumberFormat="1" applyAlignment="1">
      <alignment horizontal="center" wrapText="1"/>
    </xf>
    <xf numFmtId="1" fontId="0" fillId="0" borderId="0" xfId="0" applyNumberFormat="1"/>
    <xf numFmtId="49" fontId="2" fillId="0" borderId="0" xfId="0" applyNumberFormat="1" applyFont="1"/>
    <xf numFmtId="0" fontId="0" fillId="0" borderId="0" xfId="0" applyAlignment="1">
      <alignment horizontal="left"/>
    </xf>
    <xf numFmtId="0" fontId="1" fillId="0" borderId="0" xfId="2" applyFill="1"/>
    <xf numFmtId="41" fontId="2" fillId="0" borderId="0" xfId="3" applyFont="1" applyFill="1"/>
    <xf numFmtId="42" fontId="2" fillId="0" borderId="0" xfId="4" applyFont="1" applyFill="1" applyAlignment="1">
      <alignment horizontal="center" wrapText="1"/>
    </xf>
    <xf numFmtId="42" fontId="2" fillId="0" borderId="0" xfId="4" applyFont="1" applyFill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right"/>
    </xf>
    <xf numFmtId="41" fontId="0" fillId="0" borderId="0" xfId="3" applyFont="1" applyFill="1"/>
    <xf numFmtId="165" fontId="0" fillId="0" borderId="0" xfId="0" applyNumberFormat="1" applyAlignment="1">
      <alignment horizontal="right" wrapText="1"/>
    </xf>
    <xf numFmtId="41" fontId="0" fillId="0" borderId="0" xfId="3" applyFont="1" applyFill="1" applyAlignment="1">
      <alignment horizontal="right" wrapText="1"/>
    </xf>
    <xf numFmtId="49" fontId="0" fillId="0" borderId="0" xfId="0" applyNumberFormat="1" applyAlignment="1">
      <alignment horizontal="left" wrapText="1"/>
    </xf>
    <xf numFmtId="0" fontId="0" fillId="0" borderId="0" xfId="0" applyAlignment="1">
      <alignment horizontal="left" wrapText="1"/>
    </xf>
    <xf numFmtId="14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 wrapText="1"/>
    </xf>
    <xf numFmtId="165" fontId="0" fillId="0" borderId="0" xfId="0" applyNumberFormat="1" applyAlignment="1">
      <alignment horizontal="center"/>
    </xf>
    <xf numFmtId="165" fontId="0" fillId="0" borderId="0" xfId="0" applyNumberFormat="1" applyAlignment="1">
      <alignment horizontal="right"/>
    </xf>
    <xf numFmtId="164" fontId="0" fillId="0" borderId="0" xfId="0" applyNumberFormat="1" applyAlignment="1">
      <alignment horizontal="center"/>
    </xf>
    <xf numFmtId="1" fontId="1" fillId="0" borderId="0" xfId="2" applyNumberFormat="1" applyFill="1" applyAlignment="1">
      <alignment horizontal="center" wrapText="1"/>
    </xf>
    <xf numFmtId="14" fontId="0" fillId="0" borderId="0" xfId="0" applyNumberFormat="1"/>
    <xf numFmtId="1" fontId="0" fillId="0" borderId="0" xfId="0" applyNumberFormat="1" applyAlignment="1">
      <alignment horizontal="right"/>
    </xf>
    <xf numFmtId="1" fontId="0" fillId="0" borderId="0" xfId="0" applyNumberFormat="1" applyAlignment="1">
      <alignment horizontal="right" wrapText="1"/>
    </xf>
    <xf numFmtId="0" fontId="2" fillId="3" borderId="0" xfId="0" applyFont="1" applyFill="1" applyAlignment="1">
      <alignment horizontal="left"/>
    </xf>
    <xf numFmtId="0" fontId="0" fillId="3" borderId="0" xfId="0" applyFill="1" applyAlignment="1">
      <alignment horizontal="left" wrapText="1"/>
    </xf>
    <xf numFmtId="14" fontId="0" fillId="4" borderId="0" xfId="0" applyNumberFormat="1" applyFill="1" applyAlignment="1">
      <alignment horizontal="center"/>
    </xf>
    <xf numFmtId="14" fontId="2" fillId="4" borderId="0" xfId="0" applyNumberFormat="1" applyFont="1" applyFill="1" applyAlignment="1">
      <alignment horizontal="center"/>
    </xf>
    <xf numFmtId="1" fontId="0" fillId="0" borderId="0" xfId="0" applyNumberFormat="1" applyAlignment="1">
      <alignment wrapText="1"/>
    </xf>
    <xf numFmtId="1" fontId="2" fillId="0" borderId="0" xfId="0" applyNumberFormat="1" applyFont="1" applyAlignment="1">
      <alignment wrapText="1"/>
    </xf>
    <xf numFmtId="165" fontId="2" fillId="0" borderId="0" xfId="0" applyNumberFormat="1" applyFont="1"/>
    <xf numFmtId="164" fontId="2" fillId="0" borderId="0" xfId="0" applyNumberFormat="1" applyFont="1"/>
    <xf numFmtId="41" fontId="2" fillId="0" borderId="0" xfId="0" applyNumberFormat="1" applyFont="1"/>
    <xf numFmtId="166" fontId="2" fillId="0" borderId="0" xfId="0" applyNumberFormat="1" applyFont="1"/>
    <xf numFmtId="42" fontId="2" fillId="0" borderId="0" xfId="0" applyNumberFormat="1" applyFont="1"/>
    <xf numFmtId="14" fontId="2" fillId="0" borderId="0" xfId="0" applyNumberFormat="1" applyFont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1" fontId="2" fillId="0" borderId="0" xfId="0" applyNumberFormat="1" applyFont="1" applyAlignment="1" applyProtection="1">
      <alignment horizontal="center"/>
      <protection locked="0"/>
    </xf>
    <xf numFmtId="0" fontId="8" fillId="5" borderId="0" xfId="0" applyFont="1" applyFill="1" applyAlignment="1" applyProtection="1">
      <alignment horizontal="center"/>
      <protection locked="0"/>
    </xf>
    <xf numFmtId="1" fontId="8" fillId="5" borderId="0" xfId="0" applyNumberFormat="1" applyFont="1" applyFill="1" applyAlignment="1" applyProtection="1">
      <alignment horizontal="center"/>
      <protection locked="0"/>
    </xf>
    <xf numFmtId="0" fontId="0" fillId="0" borderId="5" xfId="0" applyBorder="1" applyAlignment="1" applyProtection="1">
      <alignment wrapText="1"/>
      <protection locked="0"/>
    </xf>
    <xf numFmtId="165" fontId="0" fillId="0" borderId="5" xfId="0" applyNumberFormat="1" applyBorder="1" applyAlignment="1" applyProtection="1">
      <alignment horizontal="center" wrapText="1"/>
      <protection locked="0"/>
    </xf>
    <xf numFmtId="1" fontId="0" fillId="0" borderId="5" xfId="0" applyNumberFormat="1" applyBorder="1" applyAlignment="1" applyProtection="1">
      <alignment horizontal="center" wrapText="1"/>
      <protection locked="0"/>
    </xf>
    <xf numFmtId="165" fontId="0" fillId="0" borderId="5" xfId="0" applyNumberFormat="1" applyBorder="1" applyAlignment="1" applyProtection="1">
      <alignment horizontal="right" wrapText="1"/>
      <protection locked="0"/>
    </xf>
    <xf numFmtId="164" fontId="0" fillId="0" borderId="5" xfId="0" applyNumberFormat="1" applyBorder="1" applyAlignment="1" applyProtection="1">
      <alignment horizontal="center" wrapText="1"/>
      <protection locked="0"/>
    </xf>
    <xf numFmtId="1" fontId="0" fillId="0" borderId="5" xfId="0" applyNumberFormat="1" applyBorder="1" applyAlignment="1" applyProtection="1">
      <alignment wrapText="1"/>
      <protection locked="0"/>
    </xf>
    <xf numFmtId="41" fontId="0" fillId="0" borderId="5" xfId="3" applyFont="1" applyBorder="1" applyAlignment="1" applyProtection="1">
      <alignment horizontal="right" wrapText="1"/>
      <protection locked="0"/>
    </xf>
    <xf numFmtId="0" fontId="0" fillId="0" borderId="5" xfId="0" applyBorder="1" applyAlignment="1" applyProtection="1">
      <alignment horizontal="center" wrapText="1"/>
      <protection locked="0"/>
    </xf>
    <xf numFmtId="0" fontId="0" fillId="0" borderId="5" xfId="0" applyBorder="1" applyProtection="1">
      <protection locked="0"/>
    </xf>
    <xf numFmtId="49" fontId="0" fillId="0" borderId="5" xfId="0" applyNumberFormat="1" applyBorder="1" applyAlignment="1" applyProtection="1">
      <alignment horizontal="center" wrapText="1"/>
      <protection locked="0"/>
    </xf>
    <xf numFmtId="166" fontId="0" fillId="0" borderId="5" xfId="0" applyNumberFormat="1" applyBorder="1" applyAlignment="1" applyProtection="1">
      <alignment horizontal="center" wrapText="1"/>
      <protection locked="0"/>
    </xf>
    <xf numFmtId="49" fontId="0" fillId="0" borderId="5" xfId="0" applyNumberFormat="1" applyBorder="1" applyAlignment="1" applyProtection="1">
      <alignment horizontal="left" wrapText="1"/>
      <protection locked="0"/>
    </xf>
    <xf numFmtId="0" fontId="0" fillId="0" borderId="5" xfId="0" applyBorder="1" applyAlignment="1" applyProtection="1">
      <alignment horizontal="left" wrapText="1"/>
      <protection locked="0"/>
    </xf>
    <xf numFmtId="1" fontId="1" fillId="0" borderId="5" xfId="2" applyNumberFormat="1" applyBorder="1" applyAlignment="1" applyProtection="1">
      <alignment horizontal="center" wrapText="1"/>
      <protection locked="0"/>
    </xf>
    <xf numFmtId="1" fontId="0" fillId="0" borderId="5" xfId="0" applyNumberFormat="1" applyBorder="1" applyAlignment="1" applyProtection="1">
      <alignment horizontal="right" wrapText="1"/>
      <protection locked="0"/>
    </xf>
    <xf numFmtId="42" fontId="2" fillId="0" borderId="5" xfId="4" applyFont="1" applyBorder="1" applyAlignment="1" applyProtection="1">
      <alignment horizontal="center" wrapText="1"/>
      <protection locked="0"/>
    </xf>
    <xf numFmtId="42" fontId="2" fillId="0" borderId="5" xfId="4" applyFont="1" applyBorder="1" applyProtection="1">
      <protection locked="0"/>
    </xf>
    <xf numFmtId="0" fontId="2" fillId="0" borderId="5" xfId="0" applyFont="1" applyBorder="1" applyProtection="1">
      <protection locked="0"/>
    </xf>
    <xf numFmtId="14" fontId="0" fillId="0" borderId="5" xfId="0" applyNumberFormat="1" applyBorder="1" applyAlignment="1" applyProtection="1">
      <alignment horizontal="center" wrapText="1"/>
      <protection locked="0"/>
    </xf>
    <xf numFmtId="0" fontId="0" fillId="0" borderId="5" xfId="0" applyBorder="1" applyAlignment="1" applyProtection="1">
      <alignment horizontal="left"/>
      <protection locked="0"/>
    </xf>
    <xf numFmtId="14" fontId="2" fillId="0" borderId="5" xfId="0" applyNumberFormat="1" applyFont="1" applyBorder="1" applyProtection="1">
      <protection locked="0"/>
    </xf>
    <xf numFmtId="0" fontId="1" fillId="0" borderId="5" xfId="2" applyBorder="1" applyAlignment="1" applyProtection="1">
      <alignment horizontal="center" wrapText="1"/>
      <protection locked="0"/>
    </xf>
    <xf numFmtId="14" fontId="2" fillId="0" borderId="5" xfId="0" applyNumberFormat="1" applyFont="1" applyBorder="1" applyAlignment="1" applyProtection="1">
      <alignment horizontal="center"/>
      <protection locked="0"/>
    </xf>
    <xf numFmtId="14" fontId="2" fillId="0" borderId="5" xfId="0" applyNumberFormat="1" applyFont="1" applyBorder="1" applyAlignment="1" applyProtection="1">
      <alignment horizontal="right"/>
      <protection locked="0"/>
    </xf>
    <xf numFmtId="0" fontId="2" fillId="0" borderId="5" xfId="0" applyFont="1" applyBorder="1" applyAlignment="1" applyProtection="1">
      <alignment horizontal="center"/>
      <protection locked="0"/>
    </xf>
    <xf numFmtId="41" fontId="2" fillId="0" borderId="5" xfId="3" applyFont="1" applyBorder="1" applyProtection="1">
      <protection locked="0"/>
    </xf>
    <xf numFmtId="0" fontId="2" fillId="0" borderId="5" xfId="0" applyFont="1" applyBorder="1" applyAlignment="1" applyProtection="1">
      <alignment horizontal="left"/>
      <protection locked="0"/>
    </xf>
    <xf numFmtId="0" fontId="2" fillId="0" borderId="5" xfId="0" applyFont="1" applyBorder="1" applyAlignment="1" applyProtection="1">
      <alignment horizontal="right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right"/>
      <protection locked="0"/>
    </xf>
    <xf numFmtId="0" fontId="0" fillId="0" borderId="5" xfId="0" applyBorder="1" applyAlignment="1" applyProtection="1">
      <alignment horizontal="center"/>
      <protection locked="0"/>
    </xf>
    <xf numFmtId="41" fontId="0" fillId="0" borderId="5" xfId="3" applyFont="1" applyBorder="1" applyProtection="1">
      <protection locked="0"/>
    </xf>
    <xf numFmtId="1" fontId="0" fillId="0" borderId="5" xfId="0" applyNumberFormat="1" applyBorder="1" applyAlignment="1" applyProtection="1">
      <alignment horizontal="right"/>
      <protection locked="0"/>
    </xf>
    <xf numFmtId="0" fontId="0" fillId="0" borderId="5" xfId="0" applyBorder="1" applyAlignment="1" applyProtection="1">
      <alignment horizontal="right"/>
      <protection locked="0"/>
    </xf>
    <xf numFmtId="1" fontId="0" fillId="0" borderId="5" xfId="0" applyNumberFormat="1" applyBorder="1" applyAlignment="1" applyProtection="1">
      <alignment horizontal="center"/>
      <protection locked="0"/>
    </xf>
    <xf numFmtId="1" fontId="2" fillId="0" borderId="5" xfId="0" applyNumberFormat="1" applyFont="1" applyBorder="1" applyProtection="1">
      <protection locked="0"/>
    </xf>
    <xf numFmtId="1" fontId="2" fillId="0" borderId="5" xfId="0" applyNumberFormat="1" applyFont="1" applyBorder="1" applyAlignment="1" applyProtection="1">
      <alignment wrapText="1"/>
      <protection locked="0"/>
    </xf>
    <xf numFmtId="0" fontId="2" fillId="0" borderId="6" xfId="0" applyFont="1" applyBorder="1" applyProtection="1">
      <protection locked="0"/>
    </xf>
    <xf numFmtId="0" fontId="2" fillId="0" borderId="6" xfId="0" applyFont="1" applyBorder="1" applyAlignment="1" applyProtection="1">
      <alignment horizontal="center"/>
      <protection locked="0"/>
    </xf>
    <xf numFmtId="1" fontId="2" fillId="0" borderId="0" xfId="0" applyNumberFormat="1" applyFont="1" applyProtection="1">
      <protection locked="0"/>
    </xf>
    <xf numFmtId="1" fontId="0" fillId="0" borderId="5" xfId="0" applyNumberFormat="1" applyBorder="1" applyAlignment="1">
      <alignment horizontal="center" wrapText="1"/>
    </xf>
    <xf numFmtId="166" fontId="2" fillId="0" borderId="5" xfId="0" applyNumberFormat="1" applyFont="1" applyBorder="1" applyAlignment="1" applyProtection="1">
      <alignment horizontal="center" wrapText="1"/>
      <protection locked="0"/>
    </xf>
    <xf numFmtId="0" fontId="1" fillId="0" borderId="5" xfId="2" applyBorder="1" applyAlignment="1" applyProtection="1">
      <alignment horizontal="center"/>
      <protection locked="0"/>
    </xf>
    <xf numFmtId="1" fontId="1" fillId="0" borderId="5" xfId="2" applyNumberFormat="1" applyBorder="1" applyAlignment="1" applyProtection="1">
      <alignment horizontal="center"/>
      <protection locked="0"/>
    </xf>
    <xf numFmtId="1" fontId="9" fillId="0" borderId="0" xfId="4" applyNumberFormat="1" applyFont="1" applyBorder="1" applyProtection="1">
      <protection locked="0"/>
    </xf>
    <xf numFmtId="1" fontId="9" fillId="0" borderId="0" xfId="4" applyNumberFormat="1" applyFont="1" applyProtection="1">
      <protection locked="0"/>
    </xf>
    <xf numFmtId="1" fontId="9" fillId="6" borderId="0" xfId="4" applyNumberFormat="1" applyFont="1" applyFill="1" applyBorder="1" applyProtection="1">
      <protection locked="0"/>
    </xf>
    <xf numFmtId="1" fontId="9" fillId="6" borderId="0" xfId="4" applyNumberFormat="1" applyFont="1" applyFill="1" applyProtection="1">
      <protection locked="0"/>
    </xf>
    <xf numFmtId="164" fontId="2" fillId="0" borderId="5" xfId="0" applyNumberFormat="1" applyFont="1" applyBorder="1" applyAlignment="1" applyProtection="1">
      <alignment horizontal="center" wrapText="1"/>
      <protection locked="0"/>
    </xf>
    <xf numFmtId="14" fontId="2" fillId="3" borderId="5" xfId="0" applyNumberFormat="1" applyFont="1" applyFill="1" applyBorder="1" applyAlignment="1" applyProtection="1">
      <alignment horizontal="center"/>
      <protection locked="0"/>
    </xf>
    <xf numFmtId="0" fontId="0" fillId="7" borderId="5" xfId="0" applyFill="1" applyBorder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</cellXfs>
  <cellStyles count="6">
    <cellStyle name="Hipervínculo" xfId="2" builtinId="8"/>
    <cellStyle name="Hyperlink" xfId="1" xr:uid="{A9A3E01D-582D-45AE-8890-F7BD27DB5D86}"/>
    <cellStyle name="Millares [0]" xfId="3" builtinId="6"/>
    <cellStyle name="Moneda [0]" xfId="4" builtinId="7"/>
    <cellStyle name="Normal" xfId="0" builtinId="0"/>
    <cellStyle name="Normal 2" xfId="5" xr:uid="{E696DEB7-57D8-4D60-A780-839040F8EBC1}"/>
  </cellStyles>
  <dxfs count="5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border diagonalUp="0" diagonalDown="0" outline="0">
        <left/>
        <right/>
        <top style="thin">
          <color theme="4"/>
        </top>
        <bottom/>
      </border>
      <protection locked="0" hidden="0"/>
    </dxf>
    <dxf>
      <numFmt numFmtId="1" formatCode="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1" indent="0" justifyLastLine="0" shrinkToFit="0" readingOrder="0"/>
      <border diagonalUp="0" diagonalDown="0" outline="0">
        <left/>
        <right/>
        <top style="thin">
          <color theme="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border outline="0">
        <left style="thin">
          <color rgb="FF4472C4"/>
        </left>
        <right style="thin">
          <color rgb="FF4472C4"/>
        </right>
        <top style="thin">
          <color rgb="FF4472C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2" formatCode="_ &quot;$&quot;* #,##0_ ;_ &quot;$&quot;* \-#,##0_ ;_ &quot;$&quot;* &quot;-&quot;_ ;_ @_ 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2" formatCode="_ &quot;$&quot;* #,##0_ ;_ &quot;$&quot;* \-#,##0_ ;_ &quot;$&quot;* &quot;-&quot;_ ;_ @_ 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2" formatCode="_ &quot;$&quot;* #,##0_ ;_ &quot;$&quot;* \-#,##0_ ;_ &quot;$&quot;* &quot;-&quot;_ ;_ @_ 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2" formatCode="_ &quot;$&quot;* #,##0_ ;_ &quot;$&quot;* \-#,##0_ ;_ &quot;$&quot;* &quot;-&quot;_ ;_ @_ 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2" formatCode="_ &quot;$&quot;* #,##0_ ;_ &quot;$&quot;* \-#,##0_ ;_ &quot;$&quot;* &quot;-&quot;_ ;_ @_ 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2" formatCode="_ &quot;$&quot;* #,##0_ ;_ &quot;$&quot;* \-#,##0_ ;_ &quot;$&quot;* &quot;-&quot;_ ;_ @_ 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indent="0" justifyLastLine="0" shrinkToFit="0" readingOrder="0"/>
      <border diagonalUp="0" diagonalDown="0" outline="0">
        <left/>
        <right/>
        <top style="thin">
          <color theme="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3" formatCode="_ * #,##0_ ;_ * \-#,##0_ ;_ * &quot;-&quot;_ ;_ @_ 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border outline="0">
        <left style="thin">
          <color theme="4"/>
        </left>
        <right style="thin">
          <color theme="4"/>
        </right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protection locked="0" hidden="0"/>
    </dxf>
  </dxfs>
  <tableStyles count="1" defaultTableStyle="TableStyleMedium2" defaultPivotStyle="PivotStyleLight16">
    <tableStyle name="Invisible" pivot="0" table="0" count="0" xr9:uid="{2F81AF99-BFBB-4178-9688-ED4888D0DDF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RRHH/NOMINAS%20DE%20PAGO/2023/9%20septiembre/FormatoExcelNominaCDP%20septiembre%202023.xls" TargetMode="External"/><Relationship Id="rId2" Type="http://schemas.openxmlformats.org/officeDocument/2006/relationships/externalLinkPath" Target="https://d.docs.live.net/60439e01e6d6e76b/Documentos/farmacia/RRHH/NOMINAS%20DE%20PAGO/2023/9%20septiembre/FormatoExcelNominaCDP%20septiembre%202023.xls" TargetMode="External"/><Relationship Id="rId1" Type="http://schemas.openxmlformats.org/officeDocument/2006/relationships/externalLinkPath" Target="/60439e01e6d6e76b/Documentos/farmacia/RRHH/NOMINAS%20DE%20PAGO/2023/9%20septiembre/FormatoExcelNominaCDP%20septiembre%20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os"/>
      <sheetName val="Detalle de Pagos"/>
      <sheetName val="Hoja2"/>
    </sheetNames>
    <sheetDataSet>
      <sheetData sheetId="0"/>
      <sheetData sheetId="1">
        <row r="7">
          <cell r="B7" t="str">
            <v>PAGO_DE_SUELDOS</v>
          </cell>
        </row>
      </sheetData>
      <sheetData sheetId="2">
        <row r="2">
          <cell r="K2" t="str">
            <v>Cuenta Corriente</v>
          </cell>
        </row>
        <row r="3">
          <cell r="K3" t="str">
            <v>Cuenta de Ahorro</v>
          </cell>
        </row>
        <row r="4">
          <cell r="K4" t="str">
            <v>Cuenta Vista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E1D29D-14F8-4267-B193-9D5E39C33E24}" name="Tabla1" displayName="Tabla1" ref="A2:AK31" totalsRowShown="0" headerRowDxfId="58" dataDxfId="57" tableBorderDxfId="56" dataCellStyle="Moneda [0]">
  <autoFilter ref="A2:AK31" xr:uid="{14E1D29D-14F8-4267-B193-9D5E39C33E24}"/>
  <tableColumns count="37">
    <tableColumn id="1" xr3:uid="{E5D5AD9F-56BF-48D7-B77E-D13F816DC009}" name="APELLIDO 1" dataDxfId="55"/>
    <tableColumn id="2" xr3:uid="{C86F6B15-533A-4565-B1BC-4B05EDF00099}" name="APELLIDO 2" dataDxfId="54"/>
    <tableColumn id="3" xr3:uid="{219BE95E-BFE1-4275-94E3-89DAA1D0D363}" name="NOMBRES" dataDxfId="53"/>
    <tableColumn id="4" xr3:uid="{0D18A745-E839-4159-B80C-74AA95E702EE}" name="FECHA CONTRATO" dataDxfId="52"/>
    <tableColumn id="5" xr3:uid="{82996DCD-E24D-4686-BF8C-4D9516F30226}" name="ANTIGÜEDAD" dataDxfId="51">
      <calculatedColumnFormula>DATEDIF(D3,TODAY(),"Y")&amp;" años, "&amp;DATEDIF(D3,TODAY(),"YM")&amp;" meses y "&amp;DATEDIF(D3,TODAY(),"MD")&amp;" días."</calculatedColumnFormula>
    </tableColumn>
    <tableColumn id="6" xr3:uid="{E5C26493-6B95-47E5-AFD0-42514BC45FBB}" name="FECHA RENOVACION" dataDxfId="50"/>
    <tableColumn id="7" xr3:uid="{2D6357AD-A68C-420C-932A-F7ADB45537C9}" name="CARGO" dataDxfId="49"/>
    <tableColumn id="8" xr3:uid="{5346752D-829D-404A-8171-DBD64E951613}" name="FECHA INDEFINIDO" dataDxfId="48"/>
    <tableColumn id="9" xr3:uid="{E648CA3D-83CF-4066-8BB7-E39A52568C01}" name="REP. LEGAL" dataDxfId="47"/>
    <tableColumn id="10" xr3:uid="{DF382A3F-F3BE-4789-950F-BA31867B676A}" name="TRABAJADOR" dataDxfId="46"/>
    <tableColumn id="11" xr3:uid="{77372C44-EA11-4370-A687-DE466C2EB888}" name="Años" dataDxfId="45">
      <calculatedColumnFormula>DATEDIF(FARMACIA!$D3,$A$1,"Y")</calculatedColumnFormula>
    </tableColumn>
    <tableColumn id="12" xr3:uid="{A03DE621-9C13-4E01-AE4C-E59D62299E28}" name="Meses" dataDxfId="44">
      <calculatedColumnFormula>DATEDIF(FARMACIA!$D3,$A$1,"Ym")</calculatedColumnFormula>
    </tableColumn>
    <tableColumn id="13" xr3:uid="{95804A93-859E-4E5C-B1FA-AB9ECCE67C61}" name="Días" dataDxfId="43">
      <calculatedColumnFormula>DATEDIF(FARMACIA!$D3,$A$1,"md")</calculatedColumnFormula>
    </tableColumn>
    <tableColumn id="14" xr3:uid="{8CC84866-6980-4462-84EE-88246CFF413F}" name="ENTREGA RIOHS" dataDxfId="42"/>
    <tableColumn id="15" xr3:uid="{F4F2E35E-8D19-48F9-8C85-67A7F63C34C1}" name="DOCUMENTO" dataDxfId="41"/>
    <tableColumn id="16" xr3:uid="{85EF7299-8777-4498-A104-31642BA4268A}" name="NUMERO" dataDxfId="40" dataCellStyle="Millares [0]"/>
    <tableColumn id="17" xr3:uid="{3D968BCF-A359-4BAC-A497-4A5B5418E465}" name="DIGITO" dataDxfId="39"/>
    <tableColumn id="18" xr3:uid="{4023C59F-5C55-44AA-93F0-C8D9AA2F9E49}" name="NACIONALIDAD" dataDxfId="38"/>
    <tableColumn id="19" xr3:uid="{525188E7-3C83-48F1-9E36-F8743175FE58}" name="FECHA NACIMIENTO" dataDxfId="37"/>
    <tableColumn id="20" xr3:uid="{E34F589C-3AAE-473E-A577-E9A3DA44B812}" name="EDAD" dataDxfId="36"/>
    <tableColumn id="21" xr3:uid="{093B7DDB-0AA8-42E3-AC8B-531C50986341}" name="ESTADO CIVIL" dataDxfId="35"/>
    <tableColumn id="22" xr3:uid="{487600EA-647C-4F3A-B900-C58E2E01EC0E}" name="DIRECCION" dataDxfId="34"/>
    <tableColumn id="23" xr3:uid="{A1DD3A59-65A0-42E9-BBAE-E4D3EB07DC42}" name="CELULAR" dataDxfId="33"/>
    <tableColumn id="24" xr3:uid="{701854D1-4372-4D29-A271-0BE0C222EB4B}" name="CORREO ELECTRONICO" dataDxfId="32"/>
    <tableColumn id="25" xr3:uid="{883C69D7-A9EE-4238-B910-536C4E26F59F}" name="NIVEL EDUCACIONAL" dataDxfId="31"/>
    <tableColumn id="26" xr3:uid="{7ADAAA0F-CF85-49E7-BEDD-0D005400CA79}" name="REGIMEN SALUD" dataDxfId="30"/>
    <tableColumn id="27" xr3:uid="{86E7B3B1-A08C-43AC-82A9-2BF5F14AD55C}" name="REGIMEN PREVISIONAL" dataDxfId="29"/>
    <tableColumn id="28" xr3:uid="{B44F9680-9A44-459C-9A82-E2ABA05786B9}" name="BANCO" dataDxfId="28"/>
    <tableColumn id="29" xr3:uid="{55308C8F-E0EF-44DF-BA5C-AF0D8EC22C57}" name="TIPO CUENTA" dataDxfId="27"/>
    <tableColumn id="30" xr3:uid="{29D471E7-FA0B-499D-83EB-F6A45D9C708D}" name="NUMERO2" dataDxfId="26"/>
    <tableColumn id="31" xr3:uid="{8E7F4E44-227E-4D87-8256-E9DD988A6BC7}" name="SUELDO BASE" dataDxfId="25" dataCellStyle="Moneda [0]"/>
    <tableColumn id="32" xr3:uid="{AA128D1F-B3EE-4268-87FE-FDD1C1CA545F}" name="BONO" dataDxfId="24" dataCellStyle="Moneda [0]"/>
    <tableColumn id="33" xr3:uid="{0E1CC9F0-CD91-4F34-BA4D-E1D8754A5A65}" name="MOV Y COL" dataDxfId="23" dataCellStyle="Moneda [0]"/>
    <tableColumn id="34" xr3:uid="{1E9615F8-E4AF-4E37-9437-3595863D5C35}" name="FECHA CAMBIO" dataDxfId="22"/>
    <tableColumn id="35" xr3:uid="{D73F3D90-8CE1-4478-858B-D417506FFA1A}" name="SUELDO BASE2" dataDxfId="21" dataCellStyle="Moneda [0]"/>
    <tableColumn id="36" xr3:uid="{4454EFE0-2F59-44BD-AF2C-8007CC11D11B}" name="BONO2" dataDxfId="20" dataCellStyle="Moneda [0]"/>
    <tableColumn id="37" xr3:uid="{C21F5F3A-3CAE-400D-91C2-DF38DAF590C9}" name="MOV Y COL2" dataDxfId="19" dataCellStyle="Moneda [0]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174282-4FF7-48B3-AAB4-37B00DFE5A7A}" name="Tabla13" displayName="Tabla13" ref="A2:N30" totalsRowShown="0" headerRowDxfId="18" dataDxfId="17" tableBorderDxfId="16" dataCellStyle="Moneda [0]">
  <autoFilter ref="A2:N30" xr:uid="{14E1D29D-14F8-4267-B193-9D5E39C33E24}"/>
  <tableColumns count="14">
    <tableColumn id="1" xr3:uid="{F33702A4-19A1-4B1A-A400-91985F5C8660}" name="APELLIDO 1" dataDxfId="15"/>
    <tableColumn id="2" xr3:uid="{F82379D5-6D25-4CE8-978C-44EBAD5811B4}" name="APELLIDO 2" dataDxfId="14"/>
    <tableColumn id="3" xr3:uid="{540D8179-94A0-4640-B3CF-E3B46F085431}" name="NOMBRES" dataDxfId="13"/>
    <tableColumn id="4" xr3:uid="{CD46868F-F88A-4EC3-A05F-54C84992EB0C}" name="FECHA CONTRATO" dataDxfId="12"/>
    <tableColumn id="5" xr3:uid="{A3C2254D-70D2-469A-9405-75303C16EA12}" name="ANTIGÜEDAD" dataDxfId="11">
      <calculatedColumnFormula>DATEDIF(D3,TODAY(),"Y")&amp;" años, "&amp;DATEDIF(D3,TODAY(),"YM")&amp;" meses y "&amp;DATEDIF(D3,TODAY(),"MD")&amp;" días."</calculatedColumnFormula>
    </tableColumn>
    <tableColumn id="14" xr3:uid="{744E8AAF-576A-41C1-B632-FF32B89EF786}" name="Inicio Vacaciones" dataDxfId="10"/>
    <tableColumn id="6" xr3:uid="{81E968F5-F1A9-4E98-9DAD-6EC1F79FF5FC}" name="2020" dataDxfId="9" dataCellStyle="Moneda [0]"/>
    <tableColumn id="7" xr3:uid="{7B2A6E8A-FFB1-43F4-9AA2-AAD0CD8BE85B}" name="2021" dataDxfId="8" dataCellStyle="Moneda [0]"/>
    <tableColumn id="8" xr3:uid="{5234074A-2D56-46C6-A122-A9C4409E8138}" name="2022" dataDxfId="7" dataCellStyle="Moneda [0]"/>
    <tableColumn id="9" xr3:uid="{555554B8-2214-441F-897D-8F000521E109}" name="2023" dataDxfId="6" dataCellStyle="Moneda [0]"/>
    <tableColumn id="10" xr3:uid="{A96B80A9-A7D7-4B64-88D2-DB735F7C3C81}" name="2024" dataDxfId="5" dataCellStyle="Moneda [0]"/>
    <tableColumn id="11" xr3:uid="{4CB86027-E1E3-4A53-A392-A726EC678C97}" name="2025" dataDxfId="4" dataCellStyle="Moneda [0]"/>
    <tableColumn id="12" xr3:uid="{BBB05CFA-687D-4B49-B898-B91649F11CBB}" name="2026" dataDxfId="3" dataCellStyle="Moneda [0]"/>
    <tableColumn id="13" xr3:uid="{B6E304AE-E374-4E7D-8C77-E9152F57C98A}" name="2027" dataDxfId="2" dataCellStyle="Moneda [0]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B12C3F9-95AB-4CA5-B5AB-B3F53884D6A8}" name="Tabla5" displayName="Tabla5" ref="A3:S14" totalsRowShown="0">
  <autoFilter ref="A3:S14" xr:uid="{2B12C3F9-95AB-4CA5-B5AB-B3F53884D6A8}"/>
  <tableColumns count="19">
    <tableColumn id="1" xr3:uid="{0383004F-37B7-421B-897A-9FD29005289C}" name="APELLIDO 1"/>
    <tableColumn id="2" xr3:uid="{ADDB3110-9765-4334-B9EA-DCFC0E8694F4}" name="APELLIDO 2"/>
    <tableColumn id="3" xr3:uid="{49126E49-1820-4A79-80E6-94F3010DDD37}" name="NOMBRES"/>
    <tableColumn id="4" xr3:uid="{D6C46E45-5215-46B0-A54B-708395AE710C}" name="FECHA INICIO"/>
    <tableColumn id="9" xr3:uid="{D828F5EB-7057-4A9B-A5D3-3AF939626C6B}" name="ANTIGÜEDAD">
      <calculatedColumnFormula>($A$1-D4)/365</calculatedColumnFormula>
    </tableColumn>
    <tableColumn id="11" xr3:uid="{49F56192-5A79-4F1B-A721-804C47B31B84}" name="DOCUMENTO"/>
    <tableColumn id="12" xr3:uid="{3D7AD8B7-3709-42FF-882D-4AC4D6741FE0}" name="NUMERO"/>
    <tableColumn id="13" xr3:uid="{DD16D361-4D48-4CA7-B6D4-F7805EF98FEA}" name="DIGITO"/>
    <tableColumn id="14" xr3:uid="{14DD344D-F474-4FEC-B3C9-5595856B2442}" name="NACIONALIDAD"/>
    <tableColumn id="15" xr3:uid="{4093223A-1CC8-44CF-BFEC-48FCF510F1DD}" name="FECHA NACIMIENTO"/>
    <tableColumn id="16" xr3:uid="{CFD5E264-CC98-48AC-9413-CB7EFE02C4BE}" name="EDAD">
      <calculatedColumnFormula>($A$1-J4)/365</calculatedColumnFormula>
    </tableColumn>
    <tableColumn id="17" xr3:uid="{32104103-93F3-4591-8385-DC1BF48DEC3C}" name="ESTADO CIVIL"/>
    <tableColumn id="18" xr3:uid="{FD56A528-9B43-4CC4-91BF-CC2251BEF433}" name="CELULAR"/>
    <tableColumn id="19" xr3:uid="{996C1630-1E42-47A7-9CB2-8FEC76820052}" name="NIVEL EDUCACIONAL"/>
    <tableColumn id="20" xr3:uid="{70EFC0F4-30BF-45F0-BCE3-B5750E108ACA}" name="REGIMEN SALUD"/>
    <tableColumn id="21" xr3:uid="{4C0992F0-FEFA-4FFB-8B7C-6E46D8EFA96B}" name="REGIMEN PREVISIONAL"/>
    <tableColumn id="22" xr3:uid="{E57BEC5D-2E61-4550-9602-09AE8540BA89}" name="BANCO"/>
    <tableColumn id="23" xr3:uid="{1B81E4DB-3910-411C-B53D-ADD1E3DD6618}" name="TIPO CUENTA"/>
    <tableColumn id="24" xr3:uid="{660FC9EE-8E2A-4A84-8DF7-5345F4CE7654}" name="NUMERO2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FFB745-CE14-4ECE-B8FB-B9C63676FC4A}" name="Tabla3" displayName="Tabla3" ref="A3:X12" totalsRowShown="0">
  <autoFilter ref="A3:X12" xr:uid="{97FFB745-CE14-4ECE-B8FB-B9C63676FC4A}"/>
  <tableColumns count="24">
    <tableColumn id="1" xr3:uid="{403FA4A2-B830-4805-9954-57C5BA66ED30}" name="APELLIDO 1"/>
    <tableColumn id="2" xr3:uid="{7256BEF7-EFE0-4716-8A6A-64520BA4C819}" name="APELLIDO 2"/>
    <tableColumn id="3" xr3:uid="{DF6A24F6-E3B3-45B5-BDAC-1A534C6F0072}" name="NOMBRES"/>
    <tableColumn id="4" xr3:uid="{13FB2D99-B377-47CF-9780-A818ADF968EA}" name="FECHA CONTRATO"/>
    <tableColumn id="5" xr3:uid="{21F2DFAA-F0EB-4EB8-A0D5-F52BAB08503E}" name="ACTIVO"/>
    <tableColumn id="6" xr3:uid="{4658DBDE-589D-4B02-B9A3-16330E3481F3}" name="FECHA "/>
    <tableColumn id="7" xr3:uid="{322BE3F3-1D67-41BA-8F32-7FF157281535}" name="REP. LEGAL"/>
    <tableColumn id="8" xr3:uid="{2AC0E7D4-4B2F-435A-B879-EAD81531F64C}" name="TRABAJADOR"/>
    <tableColumn id="9" xr3:uid="{A0FB5BC5-151F-4B54-859B-F048A80A1165}" name="ANTIGÜEDAD"/>
    <tableColumn id="10" xr3:uid="{99F6BD33-E28C-480F-BF09-24CA79012DE6}" name="ENTREGA RIOHS"/>
    <tableColumn id="11" xr3:uid="{C3FDF865-3AE2-44BE-BD73-F7DE5F527BAC}" name="DOCUMENTO"/>
    <tableColumn id="12" xr3:uid="{CC21BC49-97E8-473E-8FA7-E4C8CD17949D}" name="NUMERO"/>
    <tableColumn id="13" xr3:uid="{3AD4EEFC-EFCD-4A7F-A7D0-F75A9264549E}" name="DIGITO"/>
    <tableColumn id="14" xr3:uid="{AC9C980D-2BD9-4679-ADAF-9A14A3D1757A}" name="NACIONALIDAD"/>
    <tableColumn id="15" xr3:uid="{18BAF322-3AC4-463E-B350-23101282F97D}" name="FECHA NACIMIENTO"/>
    <tableColumn id="16" xr3:uid="{03529EAD-3F36-4865-95D7-D2E12C8ED669}" name="EDAD"/>
    <tableColumn id="17" xr3:uid="{7A3D31AB-740B-413B-B592-6A589E75CDDA}" name="ESTADO CIVIL"/>
    <tableColumn id="18" xr3:uid="{2ADE386D-0A2C-47DA-B13F-6FE61EF31F3D}" name="CELULAR"/>
    <tableColumn id="19" xr3:uid="{D74FCB8F-3F07-4C34-8246-80D4D5CB8220}" name="NIVEL EDUCACIONAL"/>
    <tableColumn id="20" xr3:uid="{163FD9BD-BAC3-45B6-B408-31D0432169FF}" name="REGIMEN SALUD"/>
    <tableColumn id="21" xr3:uid="{3AD0C0F3-BF7E-4755-9534-7AC45ADC8A89}" name="REGIMEN PREVISIONAL"/>
    <tableColumn id="22" xr3:uid="{CB566C66-DBD6-46EB-B5FA-6211B6BAA3CA}" name="BANCO"/>
    <tableColumn id="23" xr3:uid="{DBB164E2-1911-4F20-9C69-638BF3F1BB77}" name="TIPO CUENTA"/>
    <tableColumn id="24" xr3:uid="{5055B329-E9B2-481A-B0A6-8C6BAB8C11F0}" name="NUMERO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yennyroman_22@hotmail.com" TargetMode="External"/><Relationship Id="rId13" Type="http://schemas.openxmlformats.org/officeDocument/2006/relationships/hyperlink" Target="mailto:mariajofre1967@gmail.com" TargetMode="External"/><Relationship Id="rId3" Type="http://schemas.openxmlformats.org/officeDocument/2006/relationships/hyperlink" Target="mailto:t.alfaromiranda9@hotmail.com" TargetMode="External"/><Relationship Id="rId7" Type="http://schemas.openxmlformats.org/officeDocument/2006/relationships/hyperlink" Target="mailto:pauly.castro.m@gmail.com" TargetMode="External"/><Relationship Id="rId12" Type="http://schemas.openxmlformats.org/officeDocument/2006/relationships/hyperlink" Target="mailto:castillomagnolia720@gmail.com" TargetMode="External"/><Relationship Id="rId17" Type="http://schemas.openxmlformats.org/officeDocument/2006/relationships/table" Target="../tables/table1.xml"/><Relationship Id="rId2" Type="http://schemas.openxmlformats.org/officeDocument/2006/relationships/hyperlink" Target="mailto:juanluis.salamanca@gmail.com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dayanbarrera@gmail.com" TargetMode="External"/><Relationship Id="rId6" Type="http://schemas.openxmlformats.org/officeDocument/2006/relationships/hyperlink" Target="mailto:eliafernandezgalleguillos@gmail.com" TargetMode="External"/><Relationship Id="rId11" Type="http://schemas.openxmlformats.org/officeDocument/2006/relationships/hyperlink" Target="mailto:amaliameramora@outlook.es" TargetMode="External"/><Relationship Id="rId5" Type="http://schemas.openxmlformats.org/officeDocument/2006/relationships/hyperlink" Target="mailto:josefa113@gmail.com" TargetMode="External"/><Relationship Id="rId15" Type="http://schemas.openxmlformats.org/officeDocument/2006/relationships/hyperlink" Target="mailto:lt-sjaviera@hotmail.com" TargetMode="External"/><Relationship Id="rId10" Type="http://schemas.openxmlformats.org/officeDocument/2006/relationships/hyperlink" Target="mailto:camilakrstulovic@gmail.com" TargetMode="External"/><Relationship Id="rId4" Type="http://schemas.openxmlformats.org/officeDocument/2006/relationships/hyperlink" Target="mailto:araoscarrasco@gmail.com" TargetMode="External"/><Relationship Id="rId9" Type="http://schemas.openxmlformats.org/officeDocument/2006/relationships/hyperlink" Target="mailto:veronica.moreno.c77@gmail.com" TargetMode="External"/><Relationship Id="rId14" Type="http://schemas.openxmlformats.org/officeDocument/2006/relationships/hyperlink" Target="mailto:atapia.san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jaeljimenez97@gmail.com" TargetMode="External"/><Relationship Id="rId3" Type="http://schemas.openxmlformats.org/officeDocument/2006/relationships/hyperlink" Target="mailto:marta.monzoncillo.soto@gmail.com" TargetMode="External"/><Relationship Id="rId7" Type="http://schemas.openxmlformats.org/officeDocument/2006/relationships/hyperlink" Target="mailto:andrea.natg@gmail.com" TargetMode="External"/><Relationship Id="rId2" Type="http://schemas.openxmlformats.org/officeDocument/2006/relationships/hyperlink" Target="mailto:anegas3079@gmail.com" TargetMode="External"/><Relationship Id="rId1" Type="http://schemas.openxmlformats.org/officeDocument/2006/relationships/hyperlink" Target="mailto:vianka.figueroa.matamoros@gmail.com" TargetMode="External"/><Relationship Id="rId6" Type="http://schemas.openxmlformats.org/officeDocument/2006/relationships/hyperlink" Target="mailto:fredyocampo0611@gmail.com" TargetMode="External"/><Relationship Id="rId5" Type="http://schemas.openxmlformats.org/officeDocument/2006/relationships/hyperlink" Target="mailto:orellanamanuel58@gmail.com" TargetMode="External"/><Relationship Id="rId4" Type="http://schemas.openxmlformats.org/officeDocument/2006/relationships/hyperlink" Target="mailto:claudia-b.v@hotmail.com" TargetMode="External"/><Relationship Id="rId9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63598-4186-44E1-8956-3ED65253E6B6}">
  <dimension ref="A1:AK31"/>
  <sheetViews>
    <sheetView tabSelected="1" zoomScale="90" zoomScaleNormal="90" workbookViewId="0">
      <pane xSplit="3" ySplit="3" topLeftCell="D23" activePane="bottomRight" state="frozen"/>
      <selection pane="topRight" activeCell="D1" sqref="D1"/>
      <selection pane="bottomLeft" activeCell="A4" sqref="A4"/>
      <selection pane="bottomRight" activeCell="A29" sqref="A29"/>
    </sheetView>
  </sheetViews>
  <sheetFormatPr baseColWidth="10" defaultColWidth="11.44140625" defaultRowHeight="18" customHeight="1" x14ac:dyDescent="0.3"/>
  <cols>
    <col min="1" max="2" width="16.33203125" style="66" customWidth="1"/>
    <col min="3" max="3" width="20" style="66" customWidth="1"/>
    <col min="4" max="4" width="19.33203125" style="66" customWidth="1"/>
    <col min="5" max="5" width="32.5546875" style="66" customWidth="1"/>
    <col min="6" max="6" width="22.88671875" style="66" customWidth="1"/>
    <col min="7" max="7" width="29.5546875" style="66" customWidth="1"/>
    <col min="8" max="8" width="19.88671875" style="66" customWidth="1"/>
    <col min="9" max="9" width="15.44140625" style="66" customWidth="1"/>
    <col min="10" max="10" width="16.33203125" style="66" customWidth="1"/>
    <col min="11" max="13" width="15" style="110" customWidth="1"/>
    <col min="14" max="14" width="19.88671875" style="66" customWidth="1"/>
    <col min="15" max="15" width="17.88671875" style="66" customWidth="1"/>
    <col min="16" max="16" width="15.33203125" style="66" customWidth="1"/>
    <col min="17" max="17" width="10.88671875" style="67" customWidth="1"/>
    <col min="18" max="18" width="17" style="66" customWidth="1"/>
    <col min="19" max="19" width="21" style="66" customWidth="1"/>
    <col min="20" max="21" width="19" style="66" customWidth="1"/>
    <col min="22" max="22" width="33.88671875" style="66" customWidth="1"/>
    <col min="23" max="23" width="19" style="66" customWidth="1"/>
    <col min="24" max="24" width="41.44140625" style="66" customWidth="1"/>
    <col min="25" max="25" width="21.88671875" style="66" customWidth="1"/>
    <col min="26" max="26" width="19" style="66" customWidth="1"/>
    <col min="27" max="27" width="25.44140625" style="66" customWidth="1"/>
    <col min="28" max="29" width="23.5546875" style="66" customWidth="1"/>
    <col min="30" max="31" width="19" style="66" customWidth="1"/>
    <col min="32" max="32" width="11.44140625" style="66"/>
    <col min="33" max="33" width="17.109375" style="66" customWidth="1"/>
    <col min="34" max="34" width="18.44140625" style="66" customWidth="1"/>
    <col min="35" max="35" width="18.44140625" style="66" bestFit="1" customWidth="1"/>
    <col min="36" max="36" width="14" style="66" customWidth="1"/>
    <col min="37" max="37" width="14.109375" style="66" customWidth="1"/>
    <col min="38" max="16384" width="11.44140625" style="66"/>
  </cols>
  <sheetData>
    <row r="1" spans="1:37" ht="18" customHeight="1" x14ac:dyDescent="0.3">
      <c r="A1" s="65">
        <f ca="1">TODAY()</f>
        <v>46268</v>
      </c>
      <c r="I1" s="122" t="s">
        <v>135</v>
      </c>
      <c r="J1" s="122"/>
      <c r="K1" s="68"/>
      <c r="L1" s="68"/>
      <c r="M1" s="68"/>
      <c r="N1" s="67"/>
    </row>
    <row r="2" spans="1:37" ht="18" customHeight="1" x14ac:dyDescent="0.3">
      <c r="A2" s="69" t="s">
        <v>107</v>
      </c>
      <c r="B2" s="69" t="s">
        <v>108</v>
      </c>
      <c r="C2" s="69" t="s">
        <v>109</v>
      </c>
      <c r="D2" s="69" t="s">
        <v>132</v>
      </c>
      <c r="E2" s="69" t="s">
        <v>136</v>
      </c>
      <c r="F2" s="69" t="s">
        <v>223</v>
      </c>
      <c r="G2" s="69" t="s">
        <v>120</v>
      </c>
      <c r="H2" s="69" t="s">
        <v>206</v>
      </c>
      <c r="I2" s="69" t="s">
        <v>133</v>
      </c>
      <c r="J2" s="69" t="s">
        <v>134</v>
      </c>
      <c r="K2" s="70" t="s">
        <v>291</v>
      </c>
      <c r="L2" s="70" t="s">
        <v>338</v>
      </c>
      <c r="M2" s="70" t="s">
        <v>292</v>
      </c>
      <c r="N2" s="69" t="s">
        <v>137</v>
      </c>
      <c r="O2" s="69" t="s">
        <v>110</v>
      </c>
      <c r="P2" s="69" t="s">
        <v>111</v>
      </c>
      <c r="Q2" s="69" t="s">
        <v>112</v>
      </c>
      <c r="R2" s="69" t="s">
        <v>113</v>
      </c>
      <c r="S2" s="69" t="s">
        <v>117</v>
      </c>
      <c r="T2" s="69" t="s">
        <v>124</v>
      </c>
      <c r="U2" s="69" t="s">
        <v>125</v>
      </c>
      <c r="V2" s="69" t="s">
        <v>118</v>
      </c>
      <c r="W2" s="69" t="s">
        <v>126</v>
      </c>
      <c r="X2" s="69" t="s">
        <v>203</v>
      </c>
      <c r="Y2" s="69" t="s">
        <v>127</v>
      </c>
      <c r="Z2" s="69" t="s">
        <v>128</v>
      </c>
      <c r="AA2" s="69" t="s">
        <v>129</v>
      </c>
      <c r="AB2" s="69" t="s">
        <v>130</v>
      </c>
      <c r="AC2" s="69" t="s">
        <v>131</v>
      </c>
      <c r="AD2" s="69" t="s">
        <v>187</v>
      </c>
      <c r="AE2" s="69" t="s">
        <v>233</v>
      </c>
      <c r="AF2" s="69" t="s">
        <v>234</v>
      </c>
      <c r="AG2" s="69" t="s">
        <v>235</v>
      </c>
      <c r="AH2" s="69" t="s">
        <v>236</v>
      </c>
      <c r="AI2" s="69" t="s">
        <v>237</v>
      </c>
      <c r="AJ2" s="69" t="s">
        <v>238</v>
      </c>
      <c r="AK2" s="69" t="s">
        <v>239</v>
      </c>
    </row>
    <row r="3" spans="1:37" s="67" customFormat="1" ht="18" customHeight="1" x14ac:dyDescent="0.3">
      <c r="A3" s="71" t="s">
        <v>78</v>
      </c>
      <c r="B3" s="71" t="s">
        <v>96</v>
      </c>
      <c r="C3" s="71" t="s">
        <v>95</v>
      </c>
      <c r="D3" s="72">
        <v>42217</v>
      </c>
      <c r="E3" s="111" t="str">
        <f ca="1">DATEDIF(D3,TODAY(),"Y")&amp;" años, "&amp;DATEDIF(D3,TODAY(),"YM")&amp;" meses y "&amp;DATEDIF(D3,TODAY(),"MD")&amp;" días."</f>
        <v>11 años, 1 meses y 2 días.</v>
      </c>
      <c r="F3" s="72">
        <v>42217</v>
      </c>
      <c r="G3" s="71" t="s">
        <v>149</v>
      </c>
      <c r="H3" s="74">
        <v>42217</v>
      </c>
      <c r="I3" s="75" t="s">
        <v>123</v>
      </c>
      <c r="J3" s="75" t="s">
        <v>123</v>
      </c>
      <c r="K3" s="76">
        <f ca="1">DATEDIF(FARMACIA!$D3,$A$1,"Y")</f>
        <v>11</v>
      </c>
      <c r="L3" s="76">
        <f ca="1">DATEDIF(FARMACIA!$D3,$A$1,"Ym")</f>
        <v>1</v>
      </c>
      <c r="M3" s="76">
        <f ca="1">DATEDIF(FARMACIA!$D3,$A$1,"md")</f>
        <v>2</v>
      </c>
      <c r="N3" s="75" t="s">
        <v>144</v>
      </c>
      <c r="O3" s="88" t="s">
        <v>224</v>
      </c>
      <c r="P3" s="77">
        <v>13421122</v>
      </c>
      <c r="Q3" s="78">
        <v>9</v>
      </c>
      <c r="R3" s="79" t="s">
        <v>115</v>
      </c>
      <c r="S3" s="80" t="s">
        <v>225</v>
      </c>
      <c r="T3" s="81">
        <f t="shared" ref="T3:T17" ca="1" si="0">($A$1-S3)/365</f>
        <v>48.005479452054793</v>
      </c>
      <c r="U3" s="82" t="s">
        <v>138</v>
      </c>
      <c r="V3" s="83" t="s">
        <v>79</v>
      </c>
      <c r="W3" s="73">
        <v>993258016</v>
      </c>
      <c r="X3" s="84" t="s">
        <v>204</v>
      </c>
      <c r="Y3" s="82" t="s">
        <v>145</v>
      </c>
      <c r="Z3" s="82" t="s">
        <v>240</v>
      </c>
      <c r="AA3" s="82" t="s">
        <v>146</v>
      </c>
      <c r="AB3" s="82" t="s">
        <v>147</v>
      </c>
      <c r="AC3" s="82" t="s">
        <v>148</v>
      </c>
      <c r="AD3" s="85">
        <v>21382887</v>
      </c>
      <c r="AE3" s="86"/>
      <c r="AF3" s="87"/>
      <c r="AG3" s="87"/>
      <c r="AH3" s="88"/>
      <c r="AI3" s="87"/>
      <c r="AJ3" s="87"/>
      <c r="AK3" s="87"/>
    </row>
    <row r="4" spans="1:37" ht="18" customHeight="1" x14ac:dyDescent="0.3">
      <c r="A4" s="71" t="s">
        <v>226</v>
      </c>
      <c r="B4" s="71" t="s">
        <v>197</v>
      </c>
      <c r="C4" s="71" t="s">
        <v>30</v>
      </c>
      <c r="D4" s="72">
        <v>42270</v>
      </c>
      <c r="E4" s="111" t="str">
        <f t="shared" ref="E4:E24" ca="1" si="1">DATEDIF(D4,TODAY(),"Y")&amp;" años, "&amp;DATEDIF(D4,TODAY(),"YM")&amp;" meses y "&amp;DATEDIF(D4,TODAY(),"MD")&amp;" días."</f>
        <v>10 años, 11 meses y 11 días.</v>
      </c>
      <c r="F4" s="72">
        <v>42370</v>
      </c>
      <c r="G4" s="71" t="s">
        <v>18</v>
      </c>
      <c r="H4" s="74"/>
      <c r="I4" s="75" t="s">
        <v>123</v>
      </c>
      <c r="J4" s="75" t="s">
        <v>123</v>
      </c>
      <c r="K4" s="76">
        <f ca="1">DATEDIF(FARMACIA!$D4,$A$1,"Y")</f>
        <v>10</v>
      </c>
      <c r="L4" s="76">
        <f ca="1">DATEDIF(FARMACIA!$D4,$A$1,"Ym")</f>
        <v>11</v>
      </c>
      <c r="M4" s="76">
        <f ca="1">DATEDIF(FARMACIA!$D4,$A$1,"md")</f>
        <v>11</v>
      </c>
      <c r="N4" s="75" t="s">
        <v>123</v>
      </c>
      <c r="O4" s="88" t="s">
        <v>224</v>
      </c>
      <c r="P4" s="77">
        <v>15925633</v>
      </c>
      <c r="Q4" s="78">
        <v>2</v>
      </c>
      <c r="R4" s="71" t="s">
        <v>115</v>
      </c>
      <c r="S4" s="89">
        <v>31046</v>
      </c>
      <c r="T4" s="81">
        <f t="shared" ca="1" si="0"/>
        <v>41.704109589041096</v>
      </c>
      <c r="U4" s="90" t="s">
        <v>159</v>
      </c>
      <c r="V4" s="83" t="s">
        <v>160</v>
      </c>
      <c r="W4" s="73">
        <v>994110836</v>
      </c>
      <c r="X4" s="84" t="s">
        <v>248</v>
      </c>
      <c r="Y4" s="83" t="s">
        <v>139</v>
      </c>
      <c r="Z4" s="83" t="s">
        <v>140</v>
      </c>
      <c r="AA4" s="83" t="s">
        <v>146</v>
      </c>
      <c r="AB4" s="83" t="s">
        <v>142</v>
      </c>
      <c r="AC4" s="83" t="s">
        <v>148</v>
      </c>
      <c r="AD4" s="85">
        <v>2500334200</v>
      </c>
      <c r="AE4" s="87"/>
      <c r="AF4" s="87"/>
      <c r="AG4" s="87"/>
      <c r="AH4" s="88"/>
      <c r="AI4" s="87"/>
      <c r="AJ4" s="87"/>
      <c r="AK4" s="87"/>
    </row>
    <row r="5" spans="1:37" ht="18" customHeight="1" x14ac:dyDescent="0.3">
      <c r="A5" s="71" t="s">
        <v>49</v>
      </c>
      <c r="B5" s="71" t="s">
        <v>50</v>
      </c>
      <c r="C5" s="71" t="s">
        <v>48</v>
      </c>
      <c r="D5" s="72">
        <v>43191</v>
      </c>
      <c r="E5" s="111" t="str">
        <f t="shared" ca="1" si="1"/>
        <v>8 años, 5 meses y 2 días.</v>
      </c>
      <c r="F5" s="72">
        <v>43191</v>
      </c>
      <c r="G5" s="71" t="s">
        <v>52</v>
      </c>
      <c r="H5" s="74">
        <v>43191</v>
      </c>
      <c r="I5" s="75" t="s">
        <v>123</v>
      </c>
      <c r="J5" s="75" t="s">
        <v>123</v>
      </c>
      <c r="K5" s="76">
        <f ca="1">DATEDIF(FARMACIA!$D5,$A$1,"Y")</f>
        <v>8</v>
      </c>
      <c r="L5" s="76">
        <f ca="1">DATEDIF(FARMACIA!$D5,$A$1,"Ym")</f>
        <v>5</v>
      </c>
      <c r="M5" s="76">
        <f ca="1">DATEDIF(FARMACIA!$D5,$A$1,"md")</f>
        <v>2</v>
      </c>
      <c r="N5" s="75" t="s">
        <v>123</v>
      </c>
      <c r="O5" s="88" t="s">
        <v>224</v>
      </c>
      <c r="P5" s="77">
        <v>25022361</v>
      </c>
      <c r="Q5" s="78">
        <v>7</v>
      </c>
      <c r="R5" s="71" t="s">
        <v>114</v>
      </c>
      <c r="S5" s="89">
        <v>25148</v>
      </c>
      <c r="T5" s="81">
        <f t="shared" ca="1" si="0"/>
        <v>57.863013698630134</v>
      </c>
      <c r="U5" s="83" t="s">
        <v>138</v>
      </c>
      <c r="V5" s="83" t="s">
        <v>51</v>
      </c>
      <c r="W5" s="73">
        <v>948597665</v>
      </c>
      <c r="X5" s="84" t="s">
        <v>241</v>
      </c>
      <c r="Y5" s="83" t="s">
        <v>139</v>
      </c>
      <c r="Z5" s="83" t="s">
        <v>140</v>
      </c>
      <c r="AA5" s="83" t="s">
        <v>141</v>
      </c>
      <c r="AB5" s="83" t="s">
        <v>142</v>
      </c>
      <c r="AC5" s="83" t="s">
        <v>143</v>
      </c>
      <c r="AD5" s="85">
        <v>25022361</v>
      </c>
      <c r="AE5" s="86">
        <v>390000</v>
      </c>
      <c r="AF5" s="87">
        <v>0</v>
      </c>
      <c r="AG5" s="87">
        <v>30000</v>
      </c>
      <c r="AH5" s="91">
        <v>44562</v>
      </c>
      <c r="AI5" s="87">
        <v>435000</v>
      </c>
      <c r="AJ5" s="87"/>
      <c r="AK5" s="87"/>
    </row>
    <row r="6" spans="1:37" ht="18" customHeight="1" x14ac:dyDescent="0.3">
      <c r="A6" s="71" t="s">
        <v>98</v>
      </c>
      <c r="B6" s="71" t="s">
        <v>99</v>
      </c>
      <c r="C6" s="71" t="s">
        <v>97</v>
      </c>
      <c r="D6" s="72">
        <v>44105</v>
      </c>
      <c r="E6" s="111" t="str">
        <f t="shared" ca="1" si="1"/>
        <v>5 años, 11 meses y 2 días.</v>
      </c>
      <c r="F6" s="72">
        <v>44105</v>
      </c>
      <c r="G6" s="71" t="s">
        <v>100</v>
      </c>
      <c r="H6" s="74">
        <v>44105</v>
      </c>
      <c r="I6" s="75" t="s">
        <v>144</v>
      </c>
      <c r="J6" s="75" t="s">
        <v>144</v>
      </c>
      <c r="K6" s="76">
        <f ca="1">DATEDIF(FARMACIA!$D6,$A$1,"Y")</f>
        <v>5</v>
      </c>
      <c r="L6" s="76">
        <f ca="1">DATEDIF(FARMACIA!$D6,$A$1,"Ym")</f>
        <v>11</v>
      </c>
      <c r="M6" s="76">
        <f ca="1">DATEDIF(FARMACIA!$D6,$A$1,"md")</f>
        <v>2</v>
      </c>
      <c r="N6" s="75" t="s">
        <v>144</v>
      </c>
      <c r="O6" s="88" t="s">
        <v>224</v>
      </c>
      <c r="P6" s="77">
        <v>8346245</v>
      </c>
      <c r="Q6" s="78">
        <v>0</v>
      </c>
      <c r="R6" s="71" t="s">
        <v>115</v>
      </c>
      <c r="S6" s="80" t="s">
        <v>229</v>
      </c>
      <c r="T6" s="81">
        <f t="shared" ca="1" si="0"/>
        <v>60.019178082191779</v>
      </c>
      <c r="U6" s="82" t="s">
        <v>150</v>
      </c>
      <c r="V6" s="83" t="s">
        <v>79</v>
      </c>
      <c r="W6" s="78">
        <v>966190114</v>
      </c>
      <c r="X6" s="92" t="s">
        <v>205</v>
      </c>
      <c r="Y6" s="82" t="s">
        <v>145</v>
      </c>
      <c r="Z6" s="82" t="s">
        <v>240</v>
      </c>
      <c r="AA6" s="82" t="s">
        <v>146</v>
      </c>
      <c r="AB6" s="82" t="s">
        <v>151</v>
      </c>
      <c r="AC6" s="82" t="s">
        <v>148</v>
      </c>
      <c r="AD6" s="85">
        <v>62173289</v>
      </c>
      <c r="AE6" s="87"/>
      <c r="AF6" s="87"/>
      <c r="AG6" s="87"/>
      <c r="AH6" s="88"/>
      <c r="AI6" s="87"/>
      <c r="AJ6" s="87"/>
      <c r="AK6" s="87"/>
    </row>
    <row r="7" spans="1:37" ht="18" customHeight="1" x14ac:dyDescent="0.3">
      <c r="A7" s="71" t="s">
        <v>14</v>
      </c>
      <c r="B7" s="71" t="s">
        <v>15</v>
      </c>
      <c r="C7" s="71" t="s">
        <v>13</v>
      </c>
      <c r="D7" s="72">
        <v>44136</v>
      </c>
      <c r="E7" s="111" t="str">
        <f t="shared" ca="1" si="1"/>
        <v>5 años, 10 meses y 2 días.</v>
      </c>
      <c r="F7" s="72">
        <v>44136</v>
      </c>
      <c r="G7" s="71" t="s">
        <v>193</v>
      </c>
      <c r="H7" s="74">
        <v>44136</v>
      </c>
      <c r="I7" s="75" t="s">
        <v>144</v>
      </c>
      <c r="J7" s="75" t="s">
        <v>144</v>
      </c>
      <c r="K7" s="76">
        <f ca="1">DATEDIF(FARMACIA!$D7,$A$1,"Y")</f>
        <v>5</v>
      </c>
      <c r="L7" s="76">
        <f ca="1">DATEDIF(FARMACIA!$D7,$A$1,"Ym")</f>
        <v>10</v>
      </c>
      <c r="M7" s="76">
        <f ca="1">DATEDIF(FARMACIA!$D7,$A$1,"md")</f>
        <v>2</v>
      </c>
      <c r="N7" s="75" t="s">
        <v>144</v>
      </c>
      <c r="O7" s="88" t="s">
        <v>224</v>
      </c>
      <c r="P7" s="77">
        <v>15024777</v>
      </c>
      <c r="Q7" s="78">
        <v>2</v>
      </c>
      <c r="R7" s="71" t="s">
        <v>115</v>
      </c>
      <c r="S7" s="89">
        <v>30478</v>
      </c>
      <c r="T7" s="81">
        <f t="shared" ca="1" si="0"/>
        <v>43.260273972602739</v>
      </c>
      <c r="U7" s="83" t="s">
        <v>154</v>
      </c>
      <c r="V7" s="83" t="s">
        <v>16</v>
      </c>
      <c r="W7" s="73">
        <v>973027220</v>
      </c>
      <c r="X7" s="84" t="s">
        <v>246</v>
      </c>
      <c r="Y7" s="83" t="s">
        <v>139</v>
      </c>
      <c r="Z7" s="83" t="s">
        <v>140</v>
      </c>
      <c r="AA7" s="83" t="s">
        <v>141</v>
      </c>
      <c r="AB7" s="83" t="s">
        <v>155</v>
      </c>
      <c r="AC7" s="83" t="s">
        <v>143</v>
      </c>
      <c r="AD7" s="85">
        <v>50250033956</v>
      </c>
      <c r="AE7" s="86">
        <v>740000</v>
      </c>
      <c r="AF7" s="87">
        <v>150000</v>
      </c>
      <c r="AG7" s="87">
        <v>40000</v>
      </c>
      <c r="AH7" s="88"/>
      <c r="AI7" s="87"/>
      <c r="AJ7" s="87"/>
      <c r="AK7" s="87"/>
    </row>
    <row r="8" spans="1:37" ht="18" customHeight="1" x14ac:dyDescent="0.3">
      <c r="A8" s="88" t="s">
        <v>45</v>
      </c>
      <c r="B8" s="88" t="s">
        <v>96</v>
      </c>
      <c r="C8" s="88" t="s">
        <v>192</v>
      </c>
      <c r="D8" s="93">
        <v>44562</v>
      </c>
      <c r="E8" s="111" t="str">
        <f t="shared" ca="1" si="1"/>
        <v>4 años, 8 meses y 2 días.</v>
      </c>
      <c r="F8" s="93">
        <v>44562</v>
      </c>
      <c r="G8" s="88" t="s">
        <v>193</v>
      </c>
      <c r="H8" s="94">
        <v>44562</v>
      </c>
      <c r="I8" s="95" t="s">
        <v>123</v>
      </c>
      <c r="J8" s="95"/>
      <c r="K8" s="76">
        <f ca="1">DATEDIF(FARMACIA!$D8,$A$1,"Y")</f>
        <v>4</v>
      </c>
      <c r="L8" s="76">
        <f ca="1">DATEDIF(FARMACIA!$D8,$A$1,"Ym")</f>
        <v>8</v>
      </c>
      <c r="M8" s="76">
        <f ca="1">DATEDIF(FARMACIA!$D8,$A$1,"md")</f>
        <v>2</v>
      </c>
      <c r="N8" s="75" t="s">
        <v>144</v>
      </c>
      <c r="O8" s="88" t="s">
        <v>224</v>
      </c>
      <c r="P8" s="96">
        <v>13181825</v>
      </c>
      <c r="Q8" s="95">
        <v>4</v>
      </c>
      <c r="R8" s="71" t="s">
        <v>115</v>
      </c>
      <c r="S8" s="93">
        <v>28241</v>
      </c>
      <c r="T8" s="81">
        <f t="shared" ca="1" si="0"/>
        <v>49.389041095890413</v>
      </c>
      <c r="U8" s="90" t="s">
        <v>159</v>
      </c>
      <c r="V8" s="97" t="s">
        <v>252</v>
      </c>
      <c r="W8" s="95">
        <v>958636314</v>
      </c>
      <c r="X8" s="113" t="s">
        <v>253</v>
      </c>
      <c r="Y8" s="97" t="s">
        <v>163</v>
      </c>
      <c r="Z8" s="97" t="s">
        <v>140</v>
      </c>
      <c r="AA8" s="97" t="s">
        <v>146</v>
      </c>
      <c r="AB8" s="97" t="s">
        <v>232</v>
      </c>
      <c r="AC8" s="97" t="s">
        <v>148</v>
      </c>
      <c r="AD8" s="98">
        <v>30213118</v>
      </c>
      <c r="AE8" s="87">
        <v>900000</v>
      </c>
      <c r="AF8" s="87">
        <v>150000</v>
      </c>
      <c r="AG8" s="87">
        <v>125000</v>
      </c>
      <c r="AH8" s="88"/>
      <c r="AI8" s="87"/>
      <c r="AJ8" s="87"/>
      <c r="AK8" s="87"/>
    </row>
    <row r="9" spans="1:37" ht="18" customHeight="1" x14ac:dyDescent="0.3">
      <c r="A9" s="79" t="s">
        <v>173</v>
      </c>
      <c r="B9" s="79" t="s">
        <v>213</v>
      </c>
      <c r="C9" s="79" t="s">
        <v>174</v>
      </c>
      <c r="D9" s="99">
        <v>44597</v>
      </c>
      <c r="E9" s="111" t="str">
        <f t="shared" ca="1" si="1"/>
        <v>4 años, 6 meses y 29 días.</v>
      </c>
      <c r="F9" s="99">
        <v>44686</v>
      </c>
      <c r="G9" s="79" t="s">
        <v>18</v>
      </c>
      <c r="H9" s="100">
        <v>44713</v>
      </c>
      <c r="I9" s="101" t="s">
        <v>123</v>
      </c>
      <c r="J9" s="101" t="s">
        <v>123</v>
      </c>
      <c r="K9" s="76">
        <f ca="1">DATEDIF(FARMACIA!$D9,$A$1,"Y")</f>
        <v>4</v>
      </c>
      <c r="L9" s="76">
        <f ca="1">DATEDIF(FARMACIA!$D9,$A$1,"Ym")</f>
        <v>6</v>
      </c>
      <c r="M9" s="76">
        <f ca="1">DATEDIF(FARMACIA!$D9,$A$1,"md")</f>
        <v>29</v>
      </c>
      <c r="N9" s="75" t="s">
        <v>144</v>
      </c>
      <c r="O9" s="88" t="s">
        <v>224</v>
      </c>
      <c r="P9" s="102">
        <v>18687706</v>
      </c>
      <c r="Q9" s="101">
        <v>3</v>
      </c>
      <c r="R9" s="79" t="s">
        <v>115</v>
      </c>
      <c r="S9" s="99">
        <v>34251</v>
      </c>
      <c r="T9" s="81">
        <f t="shared" ca="1" si="0"/>
        <v>32.923287671232877</v>
      </c>
      <c r="U9" s="90" t="s">
        <v>159</v>
      </c>
      <c r="V9" s="90" t="s">
        <v>230</v>
      </c>
      <c r="W9" s="101">
        <v>992982299</v>
      </c>
      <c r="X9" s="113" t="s">
        <v>231</v>
      </c>
      <c r="Y9" s="90" t="s">
        <v>139</v>
      </c>
      <c r="Z9" s="90" t="s">
        <v>140</v>
      </c>
      <c r="AA9" s="83" t="s">
        <v>141</v>
      </c>
      <c r="AB9" s="90" t="s">
        <v>232</v>
      </c>
      <c r="AC9" s="90" t="s">
        <v>143</v>
      </c>
      <c r="AD9" s="103">
        <v>43620922</v>
      </c>
      <c r="AE9" s="86">
        <v>420000</v>
      </c>
      <c r="AF9" s="87">
        <v>120000</v>
      </c>
      <c r="AG9" s="87">
        <v>75000</v>
      </c>
      <c r="AH9" s="91">
        <v>44866</v>
      </c>
      <c r="AI9" s="87">
        <v>500000</v>
      </c>
      <c r="AJ9" s="87">
        <v>150000</v>
      </c>
      <c r="AK9" s="87">
        <v>73000</v>
      </c>
    </row>
    <row r="10" spans="1:37" ht="18" customHeight="1" x14ac:dyDescent="0.3">
      <c r="A10" s="79" t="s">
        <v>186</v>
      </c>
      <c r="B10" s="79" t="s">
        <v>210</v>
      </c>
      <c r="C10" s="79" t="s">
        <v>185</v>
      </c>
      <c r="D10" s="99">
        <v>44682</v>
      </c>
      <c r="E10" s="111" t="str">
        <f t="shared" ca="1" si="1"/>
        <v>4 años, 4 meses y 2 días.</v>
      </c>
      <c r="F10" s="99">
        <v>44682</v>
      </c>
      <c r="G10" s="79" t="s">
        <v>18</v>
      </c>
      <c r="H10" s="100">
        <v>44682</v>
      </c>
      <c r="I10" s="101" t="s">
        <v>123</v>
      </c>
      <c r="J10" s="101"/>
      <c r="K10" s="76">
        <f ca="1">DATEDIF(FARMACIA!$D10,$A$1,"Y")</f>
        <v>4</v>
      </c>
      <c r="L10" s="76">
        <f ca="1">DATEDIF(FARMACIA!$D10,$A$1,"Ym")</f>
        <v>4</v>
      </c>
      <c r="M10" s="76">
        <f ca="1">DATEDIF(FARMACIA!$D10,$A$1,"md")</f>
        <v>2</v>
      </c>
      <c r="N10" s="75" t="s">
        <v>144</v>
      </c>
      <c r="O10" s="88" t="s">
        <v>224</v>
      </c>
      <c r="P10" s="102">
        <v>10011860</v>
      </c>
      <c r="Q10" s="101">
        <v>2</v>
      </c>
      <c r="R10" s="79" t="s">
        <v>115</v>
      </c>
      <c r="S10" s="99">
        <v>24115</v>
      </c>
      <c r="T10" s="81">
        <f t="shared" ca="1" si="0"/>
        <v>60.69315068493151</v>
      </c>
      <c r="U10" s="90" t="s">
        <v>159</v>
      </c>
      <c r="V10" s="90" t="s">
        <v>244</v>
      </c>
      <c r="W10" s="101">
        <v>976220375</v>
      </c>
      <c r="X10" s="113" t="s">
        <v>247</v>
      </c>
      <c r="Y10" s="90" t="s">
        <v>139</v>
      </c>
      <c r="Z10" s="90" t="s">
        <v>140</v>
      </c>
      <c r="AA10" s="90" t="s">
        <v>153</v>
      </c>
      <c r="AB10" s="90" t="s">
        <v>155</v>
      </c>
      <c r="AC10" s="90" t="s">
        <v>148</v>
      </c>
      <c r="AD10" s="104" t="s">
        <v>245</v>
      </c>
      <c r="AE10" s="87">
        <v>740000</v>
      </c>
      <c r="AF10" s="87">
        <v>150000</v>
      </c>
      <c r="AG10" s="87">
        <v>35000</v>
      </c>
      <c r="AH10" s="88"/>
      <c r="AI10" s="87"/>
      <c r="AJ10" s="87"/>
      <c r="AK10" s="87"/>
    </row>
    <row r="11" spans="1:37" ht="18" customHeight="1" x14ac:dyDescent="0.3">
      <c r="A11" s="79" t="s">
        <v>171</v>
      </c>
      <c r="B11" s="79" t="s">
        <v>208</v>
      </c>
      <c r="C11" s="79" t="s">
        <v>172</v>
      </c>
      <c r="D11" s="99">
        <v>44835</v>
      </c>
      <c r="E11" s="111" t="str">
        <f t="shared" ca="1" si="1"/>
        <v>3 años, 11 meses y 2 días.</v>
      </c>
      <c r="F11" s="99">
        <v>44927</v>
      </c>
      <c r="G11" s="79" t="s">
        <v>24</v>
      </c>
      <c r="H11" s="100">
        <v>45017</v>
      </c>
      <c r="I11" s="101" t="s">
        <v>123</v>
      </c>
      <c r="J11" s="101"/>
      <c r="K11" s="76">
        <f ca="1">DATEDIF(FARMACIA!$D11,$A$1,"Y")</f>
        <v>3</v>
      </c>
      <c r="L11" s="76">
        <f ca="1">DATEDIF(FARMACIA!$D11,$A$1,"Ym")</f>
        <v>11</v>
      </c>
      <c r="M11" s="76">
        <f ca="1">DATEDIF(FARMACIA!$D11,$A$1,"md")</f>
        <v>2</v>
      </c>
      <c r="N11" s="75" t="s">
        <v>144</v>
      </c>
      <c r="O11" s="88" t="s">
        <v>224</v>
      </c>
      <c r="P11" s="102">
        <v>25910853</v>
      </c>
      <c r="Q11" s="101">
        <v>5</v>
      </c>
      <c r="R11" s="79" t="s">
        <v>114</v>
      </c>
      <c r="S11" s="99">
        <v>34007</v>
      </c>
      <c r="T11" s="81">
        <f t="shared" ca="1" si="0"/>
        <v>33.591780821917808</v>
      </c>
      <c r="U11" s="90" t="s">
        <v>159</v>
      </c>
      <c r="V11" s="90" t="s">
        <v>258</v>
      </c>
      <c r="W11" s="101">
        <v>995267137</v>
      </c>
      <c r="X11" s="113" t="s">
        <v>259</v>
      </c>
      <c r="Y11" s="90" t="s">
        <v>139</v>
      </c>
      <c r="Z11" s="90" t="s">
        <v>140</v>
      </c>
      <c r="AA11" s="90" t="s">
        <v>286</v>
      </c>
      <c r="AB11" s="90" t="s">
        <v>142</v>
      </c>
      <c r="AC11" s="90" t="s">
        <v>143</v>
      </c>
      <c r="AD11" s="103">
        <v>25910853</v>
      </c>
      <c r="AE11" s="87">
        <v>400000</v>
      </c>
      <c r="AF11" s="87">
        <v>0</v>
      </c>
      <c r="AG11" s="87">
        <v>45000</v>
      </c>
      <c r="AH11" s="88"/>
      <c r="AI11" s="87"/>
      <c r="AJ11" s="87"/>
      <c r="AK11" s="87"/>
    </row>
    <row r="12" spans="1:37" ht="18" customHeight="1" x14ac:dyDescent="0.3">
      <c r="A12" s="79" t="s">
        <v>177</v>
      </c>
      <c r="B12" s="79" t="s">
        <v>197</v>
      </c>
      <c r="C12" s="79" t="s">
        <v>178</v>
      </c>
      <c r="D12" s="99">
        <v>44866</v>
      </c>
      <c r="E12" s="111" t="str">
        <f t="shared" ca="1" si="1"/>
        <v>3 años, 10 meses y 2 días.</v>
      </c>
      <c r="F12" s="99">
        <v>44958</v>
      </c>
      <c r="G12" s="79" t="s">
        <v>18</v>
      </c>
      <c r="H12" s="100">
        <v>45017</v>
      </c>
      <c r="I12" s="101" t="s">
        <v>123</v>
      </c>
      <c r="J12" s="101"/>
      <c r="K12" s="76">
        <f ca="1">DATEDIF(FARMACIA!$D12,$A$1,"Y")</f>
        <v>3</v>
      </c>
      <c r="L12" s="76">
        <f ca="1">DATEDIF(FARMACIA!$D12,$A$1,"Ym")</f>
        <v>10</v>
      </c>
      <c r="M12" s="76">
        <f ca="1">DATEDIF(FARMACIA!$D12,$A$1,"md")</f>
        <v>2</v>
      </c>
      <c r="N12" s="75" t="s">
        <v>144</v>
      </c>
      <c r="O12" s="88" t="s">
        <v>224</v>
      </c>
      <c r="P12" s="102">
        <v>11170135</v>
      </c>
      <c r="Q12" s="101">
        <v>0</v>
      </c>
      <c r="R12" s="79" t="s">
        <v>115</v>
      </c>
      <c r="S12" s="99">
        <v>24584</v>
      </c>
      <c r="T12" s="81">
        <f t="shared" ca="1" si="0"/>
        <v>59.408219178082192</v>
      </c>
      <c r="U12" s="90" t="s">
        <v>154</v>
      </c>
      <c r="V12" s="90" t="s">
        <v>263</v>
      </c>
      <c r="W12" s="101">
        <v>999462154</v>
      </c>
      <c r="X12" s="113" t="s">
        <v>264</v>
      </c>
      <c r="Y12" s="90" t="s">
        <v>163</v>
      </c>
      <c r="Z12" s="90" t="s">
        <v>140</v>
      </c>
      <c r="AA12" s="83" t="s">
        <v>141</v>
      </c>
      <c r="AB12" s="90" t="s">
        <v>142</v>
      </c>
      <c r="AC12" s="90" t="s">
        <v>143</v>
      </c>
      <c r="AD12" s="103">
        <v>11170135</v>
      </c>
      <c r="AE12" s="87">
        <v>420000</v>
      </c>
      <c r="AF12" s="87">
        <v>120000</v>
      </c>
      <c r="AG12" s="87">
        <v>75000</v>
      </c>
      <c r="AH12" s="91">
        <v>44958</v>
      </c>
      <c r="AI12" s="87">
        <v>500000</v>
      </c>
      <c r="AJ12" s="87">
        <v>140000</v>
      </c>
      <c r="AK12" s="87">
        <v>750000</v>
      </c>
    </row>
    <row r="13" spans="1:37" ht="18" customHeight="1" x14ac:dyDescent="0.3">
      <c r="A13" s="121" t="s">
        <v>170</v>
      </c>
      <c r="B13" s="79" t="s">
        <v>211</v>
      </c>
      <c r="C13" s="79" t="s">
        <v>169</v>
      </c>
      <c r="D13" s="99">
        <v>44901</v>
      </c>
      <c r="E13" s="111" t="str">
        <f t="shared" ca="1" si="1"/>
        <v>3 años, 8 meses y 28 días.</v>
      </c>
      <c r="F13" s="99">
        <v>44991</v>
      </c>
      <c r="G13" s="79" t="s">
        <v>29</v>
      </c>
      <c r="H13" s="100">
        <v>45017</v>
      </c>
      <c r="I13" s="101" t="s">
        <v>123</v>
      </c>
      <c r="J13" s="101"/>
      <c r="K13" s="76">
        <f ca="1">DATEDIF(FARMACIA!$D13,$A$1,"Y")</f>
        <v>3</v>
      </c>
      <c r="L13" s="76">
        <f ca="1">DATEDIF(FARMACIA!$D13,$A$1,"Ym")</f>
        <v>8</v>
      </c>
      <c r="M13" s="76">
        <f ca="1">DATEDIF(FARMACIA!$D13,$A$1,"md")</f>
        <v>28</v>
      </c>
      <c r="N13" s="75" t="s">
        <v>144</v>
      </c>
      <c r="O13" s="88" t="s">
        <v>224</v>
      </c>
      <c r="P13" s="102">
        <v>18507025</v>
      </c>
      <c r="Q13" s="101">
        <v>5</v>
      </c>
      <c r="R13" s="79" t="s">
        <v>115</v>
      </c>
      <c r="S13" s="99">
        <v>34208</v>
      </c>
      <c r="T13" s="81">
        <f t="shared" ca="1" si="0"/>
        <v>33.041095890410958</v>
      </c>
      <c r="U13" s="90" t="s">
        <v>159</v>
      </c>
      <c r="V13" s="90" t="s">
        <v>254</v>
      </c>
      <c r="W13" s="101">
        <v>934207363</v>
      </c>
      <c r="X13" s="113" t="s">
        <v>255</v>
      </c>
      <c r="Y13" s="90" t="s">
        <v>145</v>
      </c>
      <c r="Z13" s="90" t="s">
        <v>140</v>
      </c>
      <c r="AA13" s="90" t="s">
        <v>162</v>
      </c>
      <c r="AB13" s="90" t="s">
        <v>256</v>
      </c>
      <c r="AC13" s="90" t="s">
        <v>148</v>
      </c>
      <c r="AD13" s="103" t="s">
        <v>257</v>
      </c>
      <c r="AE13" s="87">
        <v>1400000</v>
      </c>
      <c r="AF13" s="87">
        <v>340000</v>
      </c>
      <c r="AG13" s="87">
        <v>150000</v>
      </c>
      <c r="AH13" s="88"/>
      <c r="AI13" s="87"/>
      <c r="AJ13" s="87"/>
      <c r="AK13" s="87"/>
    </row>
    <row r="14" spans="1:37" ht="17.399999999999999" customHeight="1" x14ac:dyDescent="0.3">
      <c r="A14" s="79" t="s">
        <v>181</v>
      </c>
      <c r="B14" s="79" t="s">
        <v>212</v>
      </c>
      <c r="C14" s="79" t="s">
        <v>182</v>
      </c>
      <c r="D14" s="99">
        <v>45017</v>
      </c>
      <c r="E14" s="111" t="str">
        <f t="shared" ca="1" si="1"/>
        <v>3 años, 5 meses y 2 días.</v>
      </c>
      <c r="F14" s="99">
        <v>45017</v>
      </c>
      <c r="G14" s="79" t="s">
        <v>18</v>
      </c>
      <c r="H14" s="100">
        <v>45017</v>
      </c>
      <c r="I14" s="101"/>
      <c r="J14" s="101"/>
      <c r="K14" s="76">
        <f ca="1">DATEDIF(FARMACIA!$D14,$A$1,"Y")</f>
        <v>3</v>
      </c>
      <c r="L14" s="76">
        <f ca="1">DATEDIF(FARMACIA!$D14,$A$1,"Ym")</f>
        <v>5</v>
      </c>
      <c r="M14" s="76">
        <f ca="1">DATEDIF(FARMACIA!$D14,$A$1,"md")</f>
        <v>2</v>
      </c>
      <c r="N14" s="75" t="s">
        <v>144</v>
      </c>
      <c r="O14" s="88" t="s">
        <v>224</v>
      </c>
      <c r="P14" s="102">
        <v>24002416</v>
      </c>
      <c r="Q14" s="101">
        <v>0</v>
      </c>
      <c r="R14" s="79" t="s">
        <v>260</v>
      </c>
      <c r="S14" s="99">
        <v>29834</v>
      </c>
      <c r="T14" s="81">
        <f t="shared" ca="1" si="0"/>
        <v>45.024657534246572</v>
      </c>
      <c r="U14" s="90" t="s">
        <v>159</v>
      </c>
      <c r="V14" s="90" t="s">
        <v>261</v>
      </c>
      <c r="W14" s="101">
        <v>972955051</v>
      </c>
      <c r="X14" s="113" t="s">
        <v>262</v>
      </c>
      <c r="Y14" s="90" t="s">
        <v>163</v>
      </c>
      <c r="Z14" s="90" t="s">
        <v>140</v>
      </c>
      <c r="AA14" s="90" t="s">
        <v>162</v>
      </c>
      <c r="AB14" s="90" t="s">
        <v>142</v>
      </c>
      <c r="AC14" s="90" t="s">
        <v>148</v>
      </c>
      <c r="AD14" s="104">
        <v>2500233021</v>
      </c>
      <c r="AE14" s="86">
        <v>700000</v>
      </c>
      <c r="AF14" s="87">
        <v>140000</v>
      </c>
      <c r="AG14" s="87">
        <v>40000</v>
      </c>
      <c r="AH14" s="88"/>
      <c r="AI14" s="87"/>
      <c r="AJ14" s="87"/>
      <c r="AK14" s="87"/>
    </row>
    <row r="15" spans="1:37" ht="18" customHeight="1" x14ac:dyDescent="0.3">
      <c r="A15" s="79" t="s">
        <v>32</v>
      </c>
      <c r="B15" s="79" t="s">
        <v>209</v>
      </c>
      <c r="C15" s="79" t="s">
        <v>166</v>
      </c>
      <c r="D15" s="99">
        <v>45031</v>
      </c>
      <c r="E15" s="111" t="str">
        <f t="shared" ca="1" si="1"/>
        <v>3 años, 4 meses y 19 días.</v>
      </c>
      <c r="F15" s="99">
        <v>45122</v>
      </c>
      <c r="G15" s="79" t="s">
        <v>24</v>
      </c>
      <c r="H15" s="100">
        <v>45200</v>
      </c>
      <c r="I15" s="101" t="s">
        <v>123</v>
      </c>
      <c r="J15" s="101" t="s">
        <v>123</v>
      </c>
      <c r="K15" s="76">
        <f ca="1">DATEDIF(FARMACIA!$D15,$A$1,"Y")</f>
        <v>3</v>
      </c>
      <c r="L15" s="76">
        <f ca="1">DATEDIF(FARMACIA!$D15,$A$1,"Ym")</f>
        <v>4</v>
      </c>
      <c r="M15" s="76">
        <f ca="1">DATEDIF(FARMACIA!$D15,$A$1,"md")</f>
        <v>19</v>
      </c>
      <c r="N15" s="75" t="s">
        <v>144</v>
      </c>
      <c r="O15" s="88" t="s">
        <v>224</v>
      </c>
      <c r="P15" s="102">
        <v>18510228</v>
      </c>
      <c r="Q15" s="101">
        <v>9</v>
      </c>
      <c r="R15" s="79" t="s">
        <v>115</v>
      </c>
      <c r="S15" s="99">
        <v>34105</v>
      </c>
      <c r="T15" s="81">
        <f t="shared" ca="1" si="0"/>
        <v>33.323287671232876</v>
      </c>
      <c r="U15" s="90" t="s">
        <v>161</v>
      </c>
      <c r="V15" s="90" t="s">
        <v>265</v>
      </c>
      <c r="W15" s="105">
        <v>932783755</v>
      </c>
      <c r="X15" s="114" t="s">
        <v>266</v>
      </c>
      <c r="Y15" s="90" t="s">
        <v>139</v>
      </c>
      <c r="Z15" s="90" t="s">
        <v>140</v>
      </c>
      <c r="AA15" s="90" t="s">
        <v>162</v>
      </c>
      <c r="AB15" s="90" t="s">
        <v>142</v>
      </c>
      <c r="AC15" s="90" t="s">
        <v>143</v>
      </c>
      <c r="AD15" s="103">
        <v>18510228</v>
      </c>
      <c r="AE15" s="87">
        <v>450000</v>
      </c>
      <c r="AF15" s="87">
        <v>0</v>
      </c>
      <c r="AG15" s="87">
        <v>45000</v>
      </c>
      <c r="AH15" s="91">
        <v>45078</v>
      </c>
      <c r="AI15" s="87">
        <v>495000</v>
      </c>
      <c r="AJ15" s="87">
        <v>0</v>
      </c>
      <c r="AK15" s="87">
        <v>45000</v>
      </c>
    </row>
    <row r="16" spans="1:37" ht="18" customHeight="1" x14ac:dyDescent="0.3">
      <c r="A16" s="88" t="s">
        <v>216</v>
      </c>
      <c r="B16" s="88" t="s">
        <v>217</v>
      </c>
      <c r="C16" s="88" t="s">
        <v>218</v>
      </c>
      <c r="D16" s="93">
        <v>45096</v>
      </c>
      <c r="E16" s="111" t="str">
        <f t="shared" ca="1" si="1"/>
        <v>3 años, 2 meses y 15 días.</v>
      </c>
      <c r="F16" s="93">
        <v>45188</v>
      </c>
      <c r="G16" s="88" t="s">
        <v>18</v>
      </c>
      <c r="H16" s="94">
        <v>45279</v>
      </c>
      <c r="I16" s="95" t="s">
        <v>123</v>
      </c>
      <c r="J16" s="95" t="s">
        <v>123</v>
      </c>
      <c r="K16" s="76">
        <f ca="1">DATEDIF(FARMACIA!$D16,$A$1,"Y")</f>
        <v>3</v>
      </c>
      <c r="L16" s="76">
        <f ca="1">DATEDIF(FARMACIA!$D16,$A$1,"Ym")</f>
        <v>2</v>
      </c>
      <c r="M16" s="76">
        <f ca="1">DATEDIF(FARMACIA!$D16,$A$1,"md")</f>
        <v>15</v>
      </c>
      <c r="N16" s="75" t="s">
        <v>144</v>
      </c>
      <c r="O16" s="88" t="s">
        <v>224</v>
      </c>
      <c r="P16" s="96">
        <v>15021347</v>
      </c>
      <c r="Q16" s="95">
        <v>9</v>
      </c>
      <c r="R16" s="79" t="s">
        <v>115</v>
      </c>
      <c r="S16" s="93">
        <v>29885</v>
      </c>
      <c r="T16" s="81">
        <f t="shared" ca="1" si="0"/>
        <v>44.884931506849313</v>
      </c>
      <c r="U16" s="90" t="s">
        <v>159</v>
      </c>
      <c r="V16" s="97" t="s">
        <v>219</v>
      </c>
      <c r="W16" s="95">
        <v>975299148</v>
      </c>
      <c r="X16" s="113" t="s">
        <v>220</v>
      </c>
      <c r="Y16" s="97" t="s">
        <v>221</v>
      </c>
      <c r="Z16" s="97" t="s">
        <v>140</v>
      </c>
      <c r="AA16" s="97" t="s">
        <v>222</v>
      </c>
      <c r="AB16" s="97" t="s">
        <v>142</v>
      </c>
      <c r="AC16" s="97" t="s">
        <v>143</v>
      </c>
      <c r="AD16" s="98">
        <v>15021347</v>
      </c>
      <c r="AE16" s="86">
        <v>500000</v>
      </c>
      <c r="AF16" s="87">
        <v>145000</v>
      </c>
      <c r="AG16" s="87">
        <v>70000</v>
      </c>
      <c r="AH16" s="88"/>
      <c r="AI16" s="87"/>
      <c r="AJ16" s="87"/>
      <c r="AK16" s="87"/>
    </row>
    <row r="17" spans="1:37" ht="18" customHeight="1" x14ac:dyDescent="0.3">
      <c r="A17" s="88" t="s">
        <v>27</v>
      </c>
      <c r="B17" s="88" t="s">
        <v>106</v>
      </c>
      <c r="C17" s="88" t="s">
        <v>105</v>
      </c>
      <c r="D17" s="93">
        <v>45200</v>
      </c>
      <c r="E17" s="111" t="str">
        <f t="shared" ca="1" si="1"/>
        <v>2 años, 11 meses y 2 días.</v>
      </c>
      <c r="F17" s="93">
        <v>45200</v>
      </c>
      <c r="G17" s="79" t="s">
        <v>18</v>
      </c>
      <c r="H17" s="94">
        <v>45200</v>
      </c>
      <c r="I17" s="95"/>
      <c r="J17" s="95"/>
      <c r="K17" s="76">
        <f ca="1">DATEDIF(FARMACIA!$D17,$A$1,"Y")</f>
        <v>2</v>
      </c>
      <c r="L17" s="76">
        <f ca="1">DATEDIF(FARMACIA!$D17,$A$1,"Ym")</f>
        <v>11</v>
      </c>
      <c r="M17" s="76">
        <f ca="1">DATEDIF(FARMACIA!$D17,$A$1,"md")</f>
        <v>2</v>
      </c>
      <c r="N17" s="75" t="s">
        <v>144</v>
      </c>
      <c r="O17" s="88" t="s">
        <v>224</v>
      </c>
      <c r="P17" s="96">
        <v>19444575</v>
      </c>
      <c r="Q17" s="95" t="s">
        <v>61</v>
      </c>
      <c r="R17" s="79" t="s">
        <v>115</v>
      </c>
      <c r="S17" s="93">
        <v>35353</v>
      </c>
      <c r="T17" s="81">
        <f t="shared" ca="1" si="0"/>
        <v>29.904109589041095</v>
      </c>
      <c r="U17" s="90" t="s">
        <v>159</v>
      </c>
      <c r="V17" s="97" t="s">
        <v>277</v>
      </c>
      <c r="W17" s="95">
        <v>930731249</v>
      </c>
      <c r="X17" s="113" t="s">
        <v>278</v>
      </c>
      <c r="Y17" s="97" t="s">
        <v>163</v>
      </c>
      <c r="Z17" s="97" t="s">
        <v>140</v>
      </c>
      <c r="AA17" s="97" t="s">
        <v>153</v>
      </c>
      <c r="AB17" s="97" t="s">
        <v>142</v>
      </c>
      <c r="AC17" s="97" t="s">
        <v>143</v>
      </c>
      <c r="AD17" s="98">
        <v>19444575</v>
      </c>
      <c r="AE17" s="87"/>
      <c r="AF17" s="87"/>
      <c r="AG17" s="87"/>
      <c r="AH17" s="88"/>
      <c r="AI17" s="87"/>
      <c r="AJ17" s="87"/>
      <c r="AK17" s="87"/>
    </row>
    <row r="18" spans="1:37" ht="18" customHeight="1" x14ac:dyDescent="0.3">
      <c r="A18" s="88" t="s">
        <v>282</v>
      </c>
      <c r="B18" s="88" t="s">
        <v>299</v>
      </c>
      <c r="C18" s="88" t="s">
        <v>280</v>
      </c>
      <c r="D18" s="93">
        <v>45243</v>
      </c>
      <c r="E18" s="111" t="str">
        <f t="shared" ca="1" si="1"/>
        <v>2 años, 9 meses y 21 días.</v>
      </c>
      <c r="F18" s="93">
        <v>45335</v>
      </c>
      <c r="G18" s="88" t="s">
        <v>18</v>
      </c>
      <c r="H18" s="94">
        <v>45413</v>
      </c>
      <c r="I18" s="95"/>
      <c r="J18" s="95"/>
      <c r="K18" s="76">
        <f ca="1">DATEDIF(FARMACIA!$D18,$A$1,"Y")</f>
        <v>2</v>
      </c>
      <c r="L18" s="76">
        <f ca="1">DATEDIF(FARMACIA!$D18,$A$1,"Ym")</f>
        <v>9</v>
      </c>
      <c r="M18" s="76">
        <f ca="1">DATEDIF(FARMACIA!$D18,$A$1,"md")</f>
        <v>21</v>
      </c>
      <c r="N18" s="75" t="s">
        <v>144</v>
      </c>
      <c r="O18" s="88" t="s">
        <v>224</v>
      </c>
      <c r="P18" s="96"/>
      <c r="Q18" s="95"/>
      <c r="R18" s="88" t="s">
        <v>260</v>
      </c>
      <c r="S18" s="93"/>
      <c r="T18" s="81"/>
      <c r="U18" s="97"/>
      <c r="V18" s="97"/>
      <c r="W18" s="95"/>
      <c r="X18" s="113"/>
      <c r="Y18" s="97"/>
      <c r="Z18" s="97"/>
      <c r="AA18" s="97"/>
      <c r="AB18" s="97"/>
      <c r="AC18" s="97"/>
      <c r="AD18" s="98"/>
      <c r="AE18" s="87"/>
      <c r="AF18" s="87"/>
      <c r="AG18" s="87"/>
      <c r="AH18" s="88"/>
      <c r="AI18" s="87"/>
      <c r="AJ18" s="87"/>
      <c r="AK18" s="87"/>
    </row>
    <row r="19" spans="1:37" ht="18" customHeight="1" x14ac:dyDescent="0.3">
      <c r="A19" s="88" t="s">
        <v>309</v>
      </c>
      <c r="B19" s="88" t="s">
        <v>310</v>
      </c>
      <c r="C19" s="88" t="s">
        <v>308</v>
      </c>
      <c r="D19" s="93">
        <v>45579</v>
      </c>
      <c r="E19" s="111" t="str">
        <f t="shared" ca="1" si="1"/>
        <v>1 años, 10 meses y 20 días.</v>
      </c>
      <c r="F19" s="93">
        <v>45671</v>
      </c>
      <c r="G19" s="88" t="s">
        <v>18</v>
      </c>
      <c r="H19" s="94">
        <v>45748</v>
      </c>
      <c r="I19" s="95"/>
      <c r="J19" s="95"/>
      <c r="K19" s="106">
        <f ca="1">DATEDIF(FARMACIA!$D19,$A$1,"Y")</f>
        <v>1</v>
      </c>
      <c r="L19" s="107">
        <f ca="1">DATEDIF(FARMACIA!$D19,$A$1,"Ym")</f>
        <v>10</v>
      </c>
      <c r="M19" s="107">
        <f ca="1">DATEDIF(FARMACIA!$D19,$A$1,"md")</f>
        <v>20</v>
      </c>
      <c r="N19" s="75" t="s">
        <v>144</v>
      </c>
      <c r="O19" s="88" t="s">
        <v>224</v>
      </c>
      <c r="P19" s="96"/>
      <c r="Q19" s="95"/>
      <c r="R19" s="88" t="s">
        <v>325</v>
      </c>
      <c r="S19" s="95"/>
      <c r="T19" s="88"/>
      <c r="U19" s="97"/>
      <c r="V19" s="97"/>
      <c r="W19" s="95"/>
      <c r="X19" s="95"/>
      <c r="Y19" s="97"/>
      <c r="Z19" s="97"/>
      <c r="AA19" s="97"/>
      <c r="AB19" s="97"/>
      <c r="AC19" s="97"/>
      <c r="AD19" s="98"/>
      <c r="AE19" s="87"/>
      <c r="AF19" s="87"/>
      <c r="AG19" s="87"/>
      <c r="AH19" s="88"/>
      <c r="AI19" s="87"/>
      <c r="AJ19" s="87"/>
      <c r="AK19" s="87"/>
    </row>
    <row r="20" spans="1:37" ht="18" customHeight="1" x14ac:dyDescent="0.3">
      <c r="A20" s="88" t="s">
        <v>82</v>
      </c>
      <c r="B20" s="88" t="s">
        <v>298</v>
      </c>
      <c r="C20" s="88" t="s">
        <v>288</v>
      </c>
      <c r="D20" s="93">
        <v>45579</v>
      </c>
      <c r="E20" s="111" t="str">
        <f t="shared" ca="1" si="1"/>
        <v>1 años, 10 meses y 20 días.</v>
      </c>
      <c r="F20" s="95"/>
      <c r="G20" s="88" t="s">
        <v>24</v>
      </c>
      <c r="H20" s="98"/>
      <c r="I20" s="95"/>
      <c r="J20" s="95"/>
      <c r="K20" s="106">
        <f ca="1">DATEDIF(FARMACIA!$D20,$A$1,"Y")</f>
        <v>1</v>
      </c>
      <c r="L20" s="107">
        <f ca="1">DATEDIF(FARMACIA!$D20,$A$1,"Ym")</f>
        <v>10</v>
      </c>
      <c r="M20" s="107">
        <f ca="1">DATEDIF(FARMACIA!$D20,$A$1,"md")</f>
        <v>20</v>
      </c>
      <c r="N20" s="75" t="s">
        <v>144</v>
      </c>
      <c r="O20" s="88" t="s">
        <v>224</v>
      </c>
      <c r="P20" s="96"/>
      <c r="Q20" s="95"/>
      <c r="R20" s="88" t="s">
        <v>116</v>
      </c>
      <c r="S20" s="95"/>
      <c r="T20" s="88"/>
      <c r="U20" s="97"/>
      <c r="V20" s="97"/>
      <c r="W20" s="95"/>
      <c r="X20" s="95"/>
      <c r="Y20" s="97"/>
      <c r="Z20" s="97"/>
      <c r="AA20" s="97"/>
      <c r="AB20" s="97"/>
      <c r="AC20" s="97"/>
      <c r="AD20" s="98"/>
      <c r="AE20" s="87"/>
      <c r="AF20" s="87"/>
      <c r="AG20" s="87"/>
      <c r="AH20" s="88"/>
      <c r="AI20" s="87"/>
      <c r="AJ20" s="87"/>
      <c r="AK20" s="87"/>
    </row>
    <row r="21" spans="1:37" ht="18" customHeight="1" x14ac:dyDescent="0.3">
      <c r="A21" s="88" t="s">
        <v>301</v>
      </c>
      <c r="B21" s="88" t="s">
        <v>302</v>
      </c>
      <c r="C21" s="88" t="s">
        <v>300</v>
      </c>
      <c r="D21" s="93">
        <v>45597</v>
      </c>
      <c r="E21" s="111" t="str">
        <f t="shared" ca="1" si="1"/>
        <v>1 años, 10 meses y 2 días.</v>
      </c>
      <c r="F21" s="95"/>
      <c r="G21" s="88" t="s">
        <v>18</v>
      </c>
      <c r="H21" s="98"/>
      <c r="I21" s="95"/>
      <c r="J21" s="95"/>
      <c r="K21" s="106">
        <f ca="1">DATEDIF(FARMACIA!$D21,$A$1,"Y")</f>
        <v>1</v>
      </c>
      <c r="L21" s="107">
        <f ca="1">DATEDIF(FARMACIA!$D21,$A$1,"Ym")</f>
        <v>10</v>
      </c>
      <c r="M21" s="107">
        <f ca="1">DATEDIF(FARMACIA!$D21,$A$1,"md")</f>
        <v>2</v>
      </c>
      <c r="N21" s="75" t="s">
        <v>144</v>
      </c>
      <c r="O21" s="88"/>
      <c r="P21" s="96"/>
      <c r="Q21" s="95"/>
      <c r="R21" s="88"/>
      <c r="S21" s="95"/>
      <c r="T21" s="88"/>
      <c r="U21" s="97"/>
      <c r="V21" s="97"/>
      <c r="W21" s="95"/>
      <c r="X21" s="95"/>
      <c r="Y21" s="97"/>
      <c r="Z21" s="97"/>
      <c r="AA21" s="97"/>
      <c r="AB21" s="97"/>
      <c r="AC21" s="97"/>
      <c r="AD21" s="98"/>
      <c r="AE21" s="87"/>
      <c r="AF21" s="87"/>
      <c r="AG21" s="87"/>
      <c r="AH21" s="88"/>
      <c r="AI21" s="87"/>
      <c r="AJ21" s="87"/>
      <c r="AK21" s="87"/>
    </row>
    <row r="22" spans="1:37" ht="18" customHeight="1" x14ac:dyDescent="0.3">
      <c r="A22" s="88" t="s">
        <v>103</v>
      </c>
      <c r="B22" s="88" t="s">
        <v>304</v>
      </c>
      <c r="C22" s="88" t="s">
        <v>303</v>
      </c>
      <c r="D22" s="93">
        <v>45600</v>
      </c>
      <c r="E22" s="111" t="str">
        <f t="shared" ca="1" si="1"/>
        <v>1 años, 9 meses y 30 días.</v>
      </c>
      <c r="F22" s="95"/>
      <c r="G22" s="88" t="s">
        <v>18</v>
      </c>
      <c r="H22" s="98"/>
      <c r="I22" s="95"/>
      <c r="J22" s="95"/>
      <c r="K22" s="106">
        <f ca="1">DATEDIF(FARMACIA!$D22,$A$1,"Y")</f>
        <v>1</v>
      </c>
      <c r="L22" s="107">
        <f ca="1">DATEDIF(FARMACIA!$D22,$A$1,"Ym")</f>
        <v>9</v>
      </c>
      <c r="M22" s="107">
        <f ca="1">DATEDIF(FARMACIA!$D22,$A$1,"md")</f>
        <v>30</v>
      </c>
      <c r="N22" s="75" t="s">
        <v>144</v>
      </c>
      <c r="O22" s="88"/>
      <c r="P22" s="96"/>
      <c r="Q22" s="95"/>
      <c r="R22" s="88"/>
      <c r="S22" s="95"/>
      <c r="T22" s="88"/>
      <c r="U22" s="97"/>
      <c r="V22" s="97"/>
      <c r="W22" s="95"/>
      <c r="X22" s="95"/>
      <c r="Y22" s="97"/>
      <c r="Z22" s="97"/>
      <c r="AA22" s="97"/>
      <c r="AB22" s="97"/>
      <c r="AC22" s="97"/>
      <c r="AD22" s="98"/>
      <c r="AE22" s="87"/>
      <c r="AF22" s="87"/>
      <c r="AG22" s="87"/>
      <c r="AH22" s="88"/>
      <c r="AI22" s="87"/>
      <c r="AJ22" s="87"/>
      <c r="AK22" s="87"/>
    </row>
    <row r="23" spans="1:37" ht="18" customHeight="1" x14ac:dyDescent="0.3">
      <c r="A23" s="88" t="s">
        <v>33</v>
      </c>
      <c r="B23" s="88" t="s">
        <v>33</v>
      </c>
      <c r="C23" s="88" t="s">
        <v>297</v>
      </c>
      <c r="D23" s="93">
        <v>45603</v>
      </c>
      <c r="E23" s="111" t="str">
        <f t="shared" ca="1" si="1"/>
        <v>1 años, 9 meses y 27 días.</v>
      </c>
      <c r="F23" s="93">
        <v>45695</v>
      </c>
      <c r="G23" s="88" t="s">
        <v>18</v>
      </c>
      <c r="H23" s="94">
        <v>45778</v>
      </c>
      <c r="I23" s="95"/>
      <c r="J23" s="95"/>
      <c r="K23" s="106">
        <f ca="1">DATEDIF(FARMACIA!$D23,$A$1,"Y")</f>
        <v>1</v>
      </c>
      <c r="L23" s="107">
        <f ca="1">DATEDIF(FARMACIA!$D23,$A$1,"Ym")</f>
        <v>9</v>
      </c>
      <c r="M23" s="107">
        <f ca="1">DATEDIF(FARMACIA!$D23,$A$1,"md")</f>
        <v>27</v>
      </c>
      <c r="N23" s="75" t="s">
        <v>144</v>
      </c>
      <c r="O23" s="88"/>
      <c r="P23" s="96"/>
      <c r="Q23" s="95"/>
      <c r="R23" s="88"/>
      <c r="S23" s="95"/>
      <c r="T23" s="88"/>
      <c r="U23" s="97"/>
      <c r="V23" s="97"/>
      <c r="W23" s="95"/>
      <c r="X23" s="95"/>
      <c r="Y23" s="97"/>
      <c r="Z23" s="97"/>
      <c r="AA23" s="97"/>
      <c r="AB23" s="97"/>
      <c r="AC23" s="97"/>
      <c r="AD23" s="98"/>
      <c r="AE23" s="87"/>
      <c r="AF23" s="87"/>
      <c r="AG23" s="87"/>
      <c r="AH23" s="88"/>
      <c r="AI23" s="87"/>
      <c r="AJ23" s="87"/>
      <c r="AK23" s="87"/>
    </row>
    <row r="24" spans="1:37" ht="18" customHeight="1" x14ac:dyDescent="0.3">
      <c r="A24" s="88" t="s">
        <v>190</v>
      </c>
      <c r="B24" s="88" t="s">
        <v>66</v>
      </c>
      <c r="C24" s="88" t="s">
        <v>191</v>
      </c>
      <c r="D24" s="93">
        <v>45809</v>
      </c>
      <c r="E24" s="111" t="str">
        <f t="shared" ca="1" si="1"/>
        <v>1 años, 3 meses y 2 días.</v>
      </c>
      <c r="F24" s="93">
        <v>45809</v>
      </c>
      <c r="G24" s="79" t="s">
        <v>18</v>
      </c>
      <c r="H24" s="94">
        <v>45809</v>
      </c>
      <c r="I24" s="95"/>
      <c r="J24" s="95"/>
      <c r="K24" s="76">
        <f ca="1">DATEDIF(FARMACIA!$D24,$A$1,"Y")</f>
        <v>1</v>
      </c>
      <c r="L24" s="76">
        <f ca="1">DATEDIF(FARMACIA!$D24,$A$1,"Ym")</f>
        <v>3</v>
      </c>
      <c r="M24" s="76">
        <f ca="1">DATEDIF(FARMACIA!$D24,$A$1,"md")</f>
        <v>2</v>
      </c>
      <c r="N24" s="75" t="s">
        <v>144</v>
      </c>
      <c r="O24" s="88"/>
      <c r="P24" s="96"/>
      <c r="Q24" s="95"/>
      <c r="R24" s="88" t="s">
        <v>114</v>
      </c>
      <c r="S24" s="93">
        <v>29492</v>
      </c>
      <c r="T24" s="81">
        <f ca="1">($A$1-S24)/365</f>
        <v>45.961643835616435</v>
      </c>
      <c r="U24" s="97"/>
      <c r="V24" s="97"/>
      <c r="W24" s="95"/>
      <c r="X24" s="95"/>
      <c r="Y24" s="97"/>
      <c r="Z24" s="97"/>
      <c r="AA24" s="97"/>
      <c r="AB24" s="97"/>
      <c r="AC24" s="97"/>
      <c r="AD24" s="98"/>
      <c r="AE24" s="87"/>
      <c r="AF24" s="87"/>
      <c r="AG24" s="87"/>
      <c r="AH24" s="88"/>
      <c r="AI24" s="87"/>
      <c r="AJ24" s="87"/>
      <c r="AK24" s="87"/>
    </row>
    <row r="25" spans="1:37" ht="18" customHeight="1" x14ac:dyDescent="0.3">
      <c r="A25" s="88" t="s">
        <v>322</v>
      </c>
      <c r="B25" s="88" t="s">
        <v>186</v>
      </c>
      <c r="C25" s="88" t="s">
        <v>323</v>
      </c>
      <c r="D25" s="93">
        <v>45962</v>
      </c>
      <c r="E25" s="111" t="str">
        <f t="shared" ref="E25" ca="1" si="2">DATEDIF(D25,TODAY(),"Y")&amp;" años, "&amp;DATEDIF(D25,TODAY(),"YM")&amp;" meses y "&amp;DATEDIF(D25,TODAY(),"MD")&amp;" días."</f>
        <v>0 años, 10 meses y 2 días.</v>
      </c>
      <c r="F25" s="120">
        <v>46054</v>
      </c>
      <c r="G25" s="88" t="s">
        <v>24</v>
      </c>
      <c r="H25" s="94">
        <v>46143</v>
      </c>
      <c r="I25" s="95"/>
      <c r="J25" s="95"/>
      <c r="K25" s="107">
        <f ca="1">DATEDIF(FARMACIA!$D25,$A$1,"Y")</f>
        <v>0</v>
      </c>
      <c r="L25" s="76">
        <f ca="1">DATEDIF(FARMACIA!$D25,$A$1,"Ym")</f>
        <v>10</v>
      </c>
      <c r="M25" s="76">
        <f ca="1">DATEDIF(FARMACIA!$D25,$A$1,"md")</f>
        <v>2</v>
      </c>
      <c r="N25" s="75" t="s">
        <v>144</v>
      </c>
      <c r="O25" s="88"/>
      <c r="P25" s="96"/>
      <c r="Q25" s="95"/>
      <c r="R25" s="88"/>
      <c r="S25" s="93"/>
      <c r="T25" s="112"/>
      <c r="U25" s="97"/>
      <c r="V25" s="97"/>
      <c r="W25" s="95"/>
      <c r="X25" s="95"/>
      <c r="Y25" s="97"/>
      <c r="Z25" s="97"/>
      <c r="AA25" s="97"/>
      <c r="AB25" s="97"/>
      <c r="AC25" s="97"/>
      <c r="AD25" s="98"/>
      <c r="AE25" s="87"/>
      <c r="AF25" s="87"/>
      <c r="AG25" s="87"/>
      <c r="AH25" s="88"/>
      <c r="AI25" s="87"/>
      <c r="AJ25" s="87"/>
      <c r="AK25" s="87"/>
    </row>
    <row r="26" spans="1:37" ht="18" customHeight="1" x14ac:dyDescent="0.3">
      <c r="A26" s="88" t="s">
        <v>339</v>
      </c>
      <c r="B26" s="88" t="s">
        <v>340</v>
      </c>
      <c r="C26" s="88" t="s">
        <v>341</v>
      </c>
      <c r="D26" s="93">
        <v>46027</v>
      </c>
      <c r="E26" s="111" t="str">
        <f ca="1">DATEDIF(D26,TODAY(),"Y")&amp;" años, "&amp;DATEDIF(D26,TODAY(),"YM")&amp;" meses y "&amp;DATEDIF(D26,TODAY(),"MD")&amp;" días."</f>
        <v>0 años, 7 meses y 29 días.</v>
      </c>
      <c r="F26" s="120">
        <v>46117</v>
      </c>
      <c r="G26" s="88" t="s">
        <v>18</v>
      </c>
      <c r="H26" s="94">
        <v>46204</v>
      </c>
      <c r="I26" s="95"/>
      <c r="J26" s="95"/>
      <c r="K26" s="107">
        <f ca="1">DATEDIF(FARMACIA!$D26,$A$1,"Y")</f>
        <v>0</v>
      </c>
      <c r="L26" s="107">
        <f ca="1">DATEDIF(FARMACIA!$D26,$A$1,"Ym")</f>
        <v>7</v>
      </c>
      <c r="M26" s="107">
        <f ca="1">DATEDIF(FARMACIA!$D26,$A$1,"md")</f>
        <v>29</v>
      </c>
      <c r="N26" s="119"/>
      <c r="O26" s="88"/>
      <c r="P26" s="96"/>
      <c r="Q26" s="95"/>
      <c r="R26" s="88"/>
      <c r="S26" s="93"/>
      <c r="T26" s="112"/>
      <c r="U26" s="97"/>
      <c r="V26" s="97"/>
      <c r="W26" s="95"/>
      <c r="X26" s="95"/>
      <c r="Y26" s="97"/>
      <c r="Z26" s="97"/>
      <c r="AA26" s="97"/>
      <c r="AB26" s="97"/>
      <c r="AC26" s="97"/>
      <c r="AD26" s="98"/>
      <c r="AE26" s="87"/>
      <c r="AF26" s="87"/>
      <c r="AG26" s="87"/>
      <c r="AH26" s="88"/>
      <c r="AI26" s="87"/>
      <c r="AJ26" s="87"/>
      <c r="AK26" s="87"/>
    </row>
    <row r="27" spans="1:37" ht="18" customHeight="1" x14ac:dyDescent="0.3">
      <c r="A27" s="88" t="s">
        <v>335</v>
      </c>
      <c r="B27" s="88" t="s">
        <v>336</v>
      </c>
      <c r="C27" s="88" t="s">
        <v>337</v>
      </c>
      <c r="D27" s="93">
        <v>46062</v>
      </c>
      <c r="E27" s="111" t="str">
        <f t="shared" ref="E27:E30" ca="1" si="3">DATEDIF(D27,TODAY(),"Y")&amp;" años, "&amp;DATEDIF(D27,TODAY(),"YM")&amp;" meses y "&amp;DATEDIF(D27,TODAY(),"MD")&amp;" días."</f>
        <v>0 años, 6 meses y 25 días.</v>
      </c>
      <c r="F27" s="120">
        <v>46151</v>
      </c>
      <c r="G27" s="88" t="s">
        <v>18</v>
      </c>
      <c r="H27" s="94">
        <v>46235</v>
      </c>
      <c r="I27" s="95"/>
      <c r="J27" s="95"/>
      <c r="K27" s="107">
        <f ca="1">DATEDIF(FARMACIA!$D27,$A$1,"Y")</f>
        <v>0</v>
      </c>
      <c r="L27" s="76">
        <f ca="1">DATEDIF(FARMACIA!$D27,$A$1,"Ym")</f>
        <v>6</v>
      </c>
      <c r="M27" s="76">
        <f ca="1">DATEDIF(FARMACIA!$D27,$A$1,"md")</f>
        <v>25</v>
      </c>
      <c r="N27" s="119"/>
      <c r="O27" s="88"/>
      <c r="P27" s="96"/>
      <c r="Q27" s="95"/>
      <c r="R27" s="88"/>
      <c r="S27" s="93"/>
      <c r="T27" s="112"/>
      <c r="U27" s="97"/>
      <c r="V27" s="97"/>
      <c r="W27" s="95"/>
      <c r="X27" s="95"/>
      <c r="Y27" s="97"/>
      <c r="Z27" s="97"/>
      <c r="AA27" s="97"/>
      <c r="AB27" s="97"/>
      <c r="AC27" s="97"/>
      <c r="AD27" s="98"/>
      <c r="AE27" s="87"/>
      <c r="AF27" s="87"/>
      <c r="AG27" s="87"/>
      <c r="AH27" s="88"/>
      <c r="AI27" s="87"/>
      <c r="AJ27" s="87"/>
      <c r="AK27" s="87"/>
    </row>
    <row r="28" spans="1:37" ht="18" customHeight="1" x14ac:dyDescent="0.3">
      <c r="A28" s="88" t="s">
        <v>343</v>
      </c>
      <c r="B28" s="88" t="s">
        <v>344</v>
      </c>
      <c r="C28" s="88" t="s">
        <v>345</v>
      </c>
      <c r="D28" s="93">
        <v>46145</v>
      </c>
      <c r="E28" s="111" t="str">
        <f t="shared" ca="1" si="3"/>
        <v>0 años, 4 meses y 0 días.</v>
      </c>
      <c r="F28" s="93">
        <v>46237</v>
      </c>
      <c r="G28" s="88" t="s">
        <v>346</v>
      </c>
      <c r="H28" s="98"/>
      <c r="I28" s="95"/>
      <c r="J28" s="95"/>
      <c r="K28" s="107">
        <f ca="1">DATEDIF(FARMACIA!$D28,$A$1,"Y")</f>
        <v>0</v>
      </c>
      <c r="L28" s="76">
        <f ca="1">DATEDIF(FARMACIA!$D28,$A$1,"Ym")</f>
        <v>4</v>
      </c>
      <c r="M28" s="76">
        <f ca="1">DATEDIF(FARMACIA!$D28,$A$1,"md")</f>
        <v>0</v>
      </c>
      <c r="N28" s="119"/>
      <c r="O28" s="88"/>
      <c r="P28" s="96"/>
      <c r="Q28" s="95"/>
      <c r="R28" s="88"/>
      <c r="S28" s="93"/>
      <c r="T28" s="112"/>
      <c r="U28" s="97"/>
      <c r="V28" s="97"/>
      <c r="W28" s="95"/>
      <c r="X28" s="95"/>
      <c r="Y28" s="97"/>
      <c r="Z28" s="97"/>
      <c r="AA28" s="97"/>
      <c r="AB28" s="97"/>
      <c r="AC28" s="97"/>
      <c r="AD28" s="98"/>
      <c r="AE28" s="87"/>
      <c r="AF28" s="87"/>
      <c r="AG28" s="87"/>
      <c r="AH28" s="88"/>
      <c r="AI28" s="87"/>
      <c r="AJ28" s="87"/>
      <c r="AK28" s="87"/>
    </row>
    <row r="29" spans="1:37" ht="18" customHeight="1" x14ac:dyDescent="0.3">
      <c r="A29" s="88"/>
      <c r="B29" s="88"/>
      <c r="C29" s="88"/>
      <c r="D29" s="93"/>
      <c r="E29" s="111" t="str">
        <f t="shared" ca="1" si="3"/>
        <v>126 años, 8 meses y 3 días.</v>
      </c>
      <c r="F29" s="95"/>
      <c r="G29" s="88"/>
      <c r="H29" s="98"/>
      <c r="I29" s="95"/>
      <c r="J29" s="95"/>
      <c r="K29" s="107">
        <f ca="1">DATEDIF(FARMACIA!$D29,$A$1,"Y")</f>
        <v>126</v>
      </c>
      <c r="L29" s="76">
        <f ca="1">DATEDIF(FARMACIA!$D29,$A$1,"Ym")</f>
        <v>8</v>
      </c>
      <c r="M29" s="76">
        <f ca="1">DATEDIF(FARMACIA!$D29,$A$1,"md")</f>
        <v>3</v>
      </c>
      <c r="N29" s="119"/>
      <c r="O29" s="88"/>
      <c r="P29" s="96"/>
      <c r="Q29" s="95"/>
      <c r="R29" s="88"/>
      <c r="S29" s="93"/>
      <c r="T29" s="112"/>
      <c r="U29" s="97"/>
      <c r="V29" s="97"/>
      <c r="W29" s="95"/>
      <c r="X29" s="95"/>
      <c r="Y29" s="97"/>
      <c r="Z29" s="97"/>
      <c r="AA29" s="97"/>
      <c r="AB29" s="97"/>
      <c r="AC29" s="97"/>
      <c r="AD29" s="98"/>
      <c r="AE29" s="87"/>
      <c r="AF29" s="87"/>
      <c r="AG29" s="87"/>
      <c r="AH29" s="88"/>
      <c r="AI29" s="87"/>
      <c r="AJ29" s="87"/>
      <c r="AK29" s="87"/>
    </row>
    <row r="30" spans="1:37" ht="18" customHeight="1" x14ac:dyDescent="0.3">
      <c r="A30" s="88"/>
      <c r="B30" s="88"/>
      <c r="C30" s="88"/>
      <c r="D30" s="93"/>
      <c r="E30" s="111" t="str">
        <f t="shared" ca="1" si="3"/>
        <v>126 años, 8 meses y 3 días.</v>
      </c>
      <c r="F30" s="95"/>
      <c r="G30" s="88"/>
      <c r="H30" s="98"/>
      <c r="I30" s="95"/>
      <c r="J30" s="95"/>
      <c r="K30" s="107">
        <f ca="1">DATEDIF(FARMACIA!$D30,$A$1,"Y")</f>
        <v>126</v>
      </c>
      <c r="L30" s="76">
        <f ca="1">DATEDIF(FARMACIA!$D30,$A$1,"Ym")</f>
        <v>8</v>
      </c>
      <c r="M30" s="76">
        <f ca="1">DATEDIF(FARMACIA!$D30,$A$1,"md")</f>
        <v>3</v>
      </c>
      <c r="N30" s="119"/>
      <c r="O30" s="88"/>
      <c r="P30" s="96"/>
      <c r="Q30" s="95"/>
      <c r="R30" s="88"/>
      <c r="S30" s="93"/>
      <c r="T30" s="112"/>
      <c r="U30" s="97"/>
      <c r="V30" s="97"/>
      <c r="W30" s="95"/>
      <c r="X30" s="95"/>
      <c r="Y30" s="97"/>
      <c r="Z30" s="97"/>
      <c r="AA30" s="97"/>
      <c r="AB30" s="97"/>
      <c r="AC30" s="97"/>
      <c r="AD30" s="98"/>
      <c r="AE30" s="87"/>
      <c r="AF30" s="87"/>
      <c r="AG30" s="87"/>
      <c r="AH30" s="88"/>
      <c r="AI30" s="87"/>
      <c r="AJ30" s="87"/>
      <c r="AK30" s="87"/>
    </row>
    <row r="31" spans="1:37" ht="18" customHeight="1" x14ac:dyDescent="0.3">
      <c r="A31" s="88"/>
      <c r="B31" s="88"/>
      <c r="C31" s="88"/>
      <c r="D31" s="93"/>
      <c r="E31" s="111" t="str">
        <f ca="1">DATEDIF(D31,TODAY(),"Y")&amp;" años, "&amp;DATEDIF(D31,TODAY(),"YM")&amp;" meses y "&amp;DATEDIF(D31,TODAY(),"MD")&amp;" días."</f>
        <v>126 años, 8 meses y 3 días.</v>
      </c>
      <c r="F31" s="95"/>
      <c r="G31" s="88"/>
      <c r="H31" s="98"/>
      <c r="I31" s="95"/>
      <c r="J31" s="95"/>
      <c r="K31" s="107">
        <f ca="1">DATEDIF(FARMACIA!$D31,$A$1,"Y")</f>
        <v>126</v>
      </c>
      <c r="L31" s="76">
        <f ca="1">DATEDIF(FARMACIA!$D31,$A$1,"Ym")</f>
        <v>8</v>
      </c>
      <c r="M31" s="76">
        <f ca="1">DATEDIF(FARMACIA!$D31,$A$1,"md")</f>
        <v>3</v>
      </c>
      <c r="N31" s="75" t="s">
        <v>144</v>
      </c>
      <c r="O31" s="88"/>
      <c r="P31" s="96"/>
      <c r="Q31" s="95"/>
      <c r="R31" s="88"/>
      <c r="S31" s="93"/>
      <c r="T31" s="112"/>
      <c r="U31" s="97"/>
      <c r="V31" s="97"/>
      <c r="W31" s="95"/>
      <c r="X31" s="95"/>
      <c r="Y31" s="97"/>
      <c r="Z31" s="97"/>
      <c r="AA31" s="97"/>
      <c r="AB31" s="97"/>
      <c r="AC31" s="97"/>
      <c r="AD31" s="98"/>
      <c r="AE31" s="87"/>
      <c r="AF31" s="87"/>
      <c r="AG31" s="87"/>
      <c r="AH31" s="88"/>
      <c r="AI31" s="87"/>
      <c r="AJ31" s="87"/>
      <c r="AK31" s="87"/>
    </row>
  </sheetData>
  <sheetProtection selectLockedCells="1"/>
  <mergeCells count="1">
    <mergeCell ref="I1:J1"/>
  </mergeCells>
  <hyperlinks>
    <hyperlink ref="X3" r:id="rId1" xr:uid="{2461F3FB-DE42-45FF-BBDA-338E78E9C2C0}"/>
    <hyperlink ref="X6" r:id="rId2" xr:uid="{03375C73-1521-414E-90A9-8C3119EDDF67}"/>
    <hyperlink ref="X9" r:id="rId3" xr:uid="{790EAA91-110C-4819-91A9-1503FA4E0AD9}"/>
    <hyperlink ref="X16" r:id="rId4" xr:uid="{E7CB2871-7B1A-4AB3-AAB3-1BE133CB9519}"/>
    <hyperlink ref="X5" r:id="rId5" xr:uid="{45AC100B-D4CA-4EB0-91A8-E3C189192B24}"/>
    <hyperlink ref="X10" r:id="rId6" xr:uid="{70E18A1E-E3E6-4D6A-9203-0A8EE55FF022}"/>
    <hyperlink ref="X7" r:id="rId7" xr:uid="{F36145A9-2BC3-4CA6-9E95-69632D3C9983}"/>
    <hyperlink ref="X4" r:id="rId8" xr:uid="{3F9063B0-F2AB-437D-BD49-A46999B564C5}"/>
    <hyperlink ref="X8" r:id="rId9" xr:uid="{33FEB9AA-018E-4F0B-8DE8-919B262D0546}"/>
    <hyperlink ref="X13" r:id="rId10" xr:uid="{707BF269-2AEB-47F9-A09A-276655BE5966}"/>
    <hyperlink ref="X11" r:id="rId11" xr:uid="{4C16DD56-E0AA-4659-BAD0-18F4A89C9969}"/>
    <hyperlink ref="X14" r:id="rId12" xr:uid="{118F1020-2AF5-4B4B-ADB8-6C156404067B}"/>
    <hyperlink ref="X12" r:id="rId13" xr:uid="{C6323520-99E6-4BC8-AF0D-ABA0E9AA4719}"/>
    <hyperlink ref="X15" r:id="rId14" xr:uid="{681B45B0-399D-41F3-89A0-E0961FE51230}"/>
    <hyperlink ref="X17" r:id="rId15" xr:uid="{09ECD566-BCFC-455C-93AB-4D649059EAA9}"/>
  </hyperlinks>
  <pageMargins left="0.7" right="0.7" top="0.75" bottom="0.75" header="0.3" footer="0.3"/>
  <pageSetup orientation="portrait" verticalDpi="0" r:id="rId16"/>
  <ignoredErrors>
    <ignoredError sqref="A1 K3:M24 K25" unlockedFormula="1"/>
  </ignoredErrors>
  <tableParts count="1">
    <tablePart r:id="rId1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B9C59-D056-4A4C-B796-A4B5D2B86B40}">
  <dimension ref="A1:N30"/>
  <sheetViews>
    <sheetView topLeftCell="C1" zoomScale="90" zoomScaleNormal="90" workbookViewId="0">
      <pane ySplit="1" topLeftCell="A6" activePane="bottomLeft" state="frozen"/>
      <selection pane="bottomLeft" activeCell="P12" sqref="P12"/>
    </sheetView>
  </sheetViews>
  <sheetFormatPr baseColWidth="10" defaultColWidth="11.44140625" defaultRowHeight="18" customHeight="1" x14ac:dyDescent="0.3"/>
  <cols>
    <col min="1" max="2" width="16.33203125" style="66" customWidth="1"/>
    <col min="3" max="3" width="20" style="66" customWidth="1"/>
    <col min="4" max="4" width="20.6640625" style="66" customWidth="1"/>
    <col min="5" max="5" width="29.6640625" style="66" customWidth="1"/>
    <col min="6" max="6" width="16.6640625" style="66" customWidth="1"/>
    <col min="7" max="16384" width="11.44140625" style="66"/>
  </cols>
  <sheetData>
    <row r="1" spans="1:14" ht="18" customHeight="1" x14ac:dyDescent="0.3">
      <c r="A1" s="65">
        <f ca="1">TODAY()</f>
        <v>46268</v>
      </c>
    </row>
    <row r="2" spans="1:14" ht="18" customHeight="1" x14ac:dyDescent="0.3">
      <c r="A2" s="69" t="s">
        <v>107</v>
      </c>
      <c r="B2" s="69" t="s">
        <v>108</v>
      </c>
      <c r="C2" s="69" t="s">
        <v>109</v>
      </c>
      <c r="D2" s="69" t="s">
        <v>132</v>
      </c>
      <c r="E2" s="69" t="s">
        <v>136</v>
      </c>
      <c r="F2" s="69" t="s">
        <v>334</v>
      </c>
      <c r="G2" s="69" t="s">
        <v>326</v>
      </c>
      <c r="H2" s="69" t="s">
        <v>327</v>
      </c>
      <c r="I2" s="69" t="s">
        <v>328</v>
      </c>
      <c r="J2" s="69" t="s">
        <v>329</v>
      </c>
      <c r="K2" s="69" t="s">
        <v>330</v>
      </c>
      <c r="L2" s="69" t="s">
        <v>331</v>
      </c>
      <c r="M2" s="69" t="s">
        <v>332</v>
      </c>
      <c r="N2" s="69" t="s">
        <v>333</v>
      </c>
    </row>
    <row r="3" spans="1:14" ht="18" customHeight="1" x14ac:dyDescent="0.3">
      <c r="A3" s="71" t="s">
        <v>226</v>
      </c>
      <c r="B3" s="71" t="s">
        <v>197</v>
      </c>
      <c r="C3" s="71" t="s">
        <v>30</v>
      </c>
      <c r="D3" s="72">
        <v>42270</v>
      </c>
      <c r="E3" s="111" t="str">
        <f t="shared" ref="E3:E30" ca="1" si="0">DATEDIF(D3,TODAY(),"Y")&amp;" años, "&amp;DATEDIF(D3,TODAY(),"YM")&amp;" meses y "&amp;DATEDIF(D3,TODAY(),"MD")&amp;" días."</f>
        <v>10 años, 11 meses y 11 días.</v>
      </c>
      <c r="F3" s="27"/>
      <c r="G3" s="115">
        <v>15</v>
      </c>
      <c r="H3" s="116">
        <v>15</v>
      </c>
      <c r="I3" s="116">
        <v>15</v>
      </c>
      <c r="J3" s="116">
        <v>20</v>
      </c>
      <c r="K3" s="116">
        <v>31</v>
      </c>
      <c r="L3" s="116">
        <v>11</v>
      </c>
      <c r="M3" s="116"/>
      <c r="N3" s="116"/>
    </row>
    <row r="4" spans="1:14" ht="18" customHeight="1" x14ac:dyDescent="0.3">
      <c r="A4" s="71" t="s">
        <v>49</v>
      </c>
      <c r="B4" s="71" t="s">
        <v>50</v>
      </c>
      <c r="C4" s="71" t="s">
        <v>48</v>
      </c>
      <c r="D4" s="72">
        <v>43191</v>
      </c>
      <c r="E4" s="111" t="str">
        <f t="shared" ca="1" si="0"/>
        <v>8 años, 5 meses y 2 días.</v>
      </c>
      <c r="F4" s="27"/>
      <c r="G4" s="115">
        <v>15</v>
      </c>
      <c r="H4" s="116">
        <v>15</v>
      </c>
      <c r="I4" s="116">
        <v>15</v>
      </c>
      <c r="J4" s="116">
        <v>15</v>
      </c>
      <c r="K4" s="116">
        <v>15</v>
      </c>
      <c r="L4" s="116"/>
      <c r="M4" s="116"/>
      <c r="N4" s="116"/>
    </row>
    <row r="5" spans="1:14" ht="18" customHeight="1" x14ac:dyDescent="0.3">
      <c r="A5" s="71" t="s">
        <v>14</v>
      </c>
      <c r="B5" s="71" t="s">
        <v>15</v>
      </c>
      <c r="C5" s="71" t="s">
        <v>13</v>
      </c>
      <c r="D5" s="72">
        <v>44136</v>
      </c>
      <c r="E5" s="111" t="str">
        <f t="shared" ca="1" si="0"/>
        <v>5 años, 10 meses y 2 días.</v>
      </c>
      <c r="F5" s="27"/>
      <c r="G5" s="115">
        <v>15</v>
      </c>
      <c r="H5" s="116">
        <v>15</v>
      </c>
      <c r="I5" s="116">
        <v>15</v>
      </c>
      <c r="J5" s="116">
        <v>15</v>
      </c>
      <c r="K5" s="116">
        <v>15</v>
      </c>
      <c r="L5" s="116"/>
      <c r="M5" s="116"/>
      <c r="N5" s="116"/>
    </row>
    <row r="6" spans="1:14" ht="18" customHeight="1" x14ac:dyDescent="0.3">
      <c r="A6" s="88" t="s">
        <v>45</v>
      </c>
      <c r="B6" s="88" t="s">
        <v>96</v>
      </c>
      <c r="C6" s="88" t="s">
        <v>192</v>
      </c>
      <c r="D6" s="93">
        <v>44562</v>
      </c>
      <c r="E6" s="111" t="str">
        <f t="shared" ca="1" si="0"/>
        <v>4 años, 8 meses y 2 días.</v>
      </c>
      <c r="F6" s="27"/>
      <c r="G6" s="117"/>
      <c r="H6" s="118"/>
      <c r="I6" s="118"/>
      <c r="J6" s="116"/>
      <c r="K6" s="116"/>
      <c r="L6" s="116">
        <v>11</v>
      </c>
      <c r="M6" s="116"/>
      <c r="N6" s="116"/>
    </row>
    <row r="7" spans="1:14" ht="18" customHeight="1" x14ac:dyDescent="0.3">
      <c r="A7" s="79" t="s">
        <v>173</v>
      </c>
      <c r="B7" s="79" t="s">
        <v>213</v>
      </c>
      <c r="C7" s="79" t="s">
        <v>174</v>
      </c>
      <c r="D7" s="99">
        <v>44597</v>
      </c>
      <c r="E7" s="111" t="str">
        <f t="shared" ca="1" si="0"/>
        <v>4 años, 6 meses y 29 días.</v>
      </c>
      <c r="F7" s="27"/>
      <c r="G7" s="117"/>
      <c r="H7" s="118"/>
      <c r="I7" s="118"/>
      <c r="J7" s="116">
        <v>16</v>
      </c>
      <c r="K7" s="116">
        <v>21</v>
      </c>
      <c r="L7" s="116">
        <v>17</v>
      </c>
      <c r="M7" s="116"/>
      <c r="N7" s="116"/>
    </row>
    <row r="8" spans="1:14" ht="18" customHeight="1" x14ac:dyDescent="0.3">
      <c r="A8" s="79" t="s">
        <v>186</v>
      </c>
      <c r="B8" s="79" t="s">
        <v>210</v>
      </c>
      <c r="C8" s="79" t="s">
        <v>185</v>
      </c>
      <c r="D8" s="99">
        <v>44682</v>
      </c>
      <c r="E8" s="111" t="str">
        <f t="shared" ca="1" si="0"/>
        <v>4 años, 4 meses y 2 días.</v>
      </c>
      <c r="F8" s="27"/>
      <c r="G8" s="117"/>
      <c r="H8" s="118"/>
      <c r="I8" s="118"/>
      <c r="J8" s="116">
        <v>2</v>
      </c>
      <c r="K8" s="116"/>
      <c r="L8" s="116">
        <v>17</v>
      </c>
      <c r="M8" s="116"/>
      <c r="N8" s="116"/>
    </row>
    <row r="9" spans="1:14" ht="18" customHeight="1" x14ac:dyDescent="0.3">
      <c r="A9" s="79" t="s">
        <v>171</v>
      </c>
      <c r="B9" s="79" t="s">
        <v>208</v>
      </c>
      <c r="C9" s="79" t="s">
        <v>172</v>
      </c>
      <c r="D9" s="99">
        <v>44835</v>
      </c>
      <c r="E9" s="111" t="str">
        <f t="shared" ca="1" si="0"/>
        <v>3 años, 11 meses y 2 días.</v>
      </c>
      <c r="F9" s="27"/>
      <c r="G9" s="117"/>
      <c r="H9" s="118"/>
      <c r="I9" s="118"/>
      <c r="J9" s="116">
        <v>0</v>
      </c>
      <c r="K9" s="116">
        <v>15</v>
      </c>
      <c r="L9" s="116">
        <v>17</v>
      </c>
      <c r="M9" s="116">
        <v>16</v>
      </c>
      <c r="N9" s="116"/>
    </row>
    <row r="10" spans="1:14" ht="18" customHeight="1" x14ac:dyDescent="0.3">
      <c r="A10" s="79" t="s">
        <v>177</v>
      </c>
      <c r="B10" s="79" t="s">
        <v>197</v>
      </c>
      <c r="C10" s="79" t="s">
        <v>178</v>
      </c>
      <c r="D10" s="99">
        <v>44866</v>
      </c>
      <c r="E10" s="111" t="str">
        <f t="shared" ca="1" si="0"/>
        <v>3 años, 10 meses y 2 días.</v>
      </c>
      <c r="F10" s="27"/>
      <c r="G10" s="117"/>
      <c r="H10" s="118"/>
      <c r="I10" s="118"/>
      <c r="J10" s="116">
        <v>9</v>
      </c>
      <c r="K10" s="116">
        <v>6</v>
      </c>
      <c r="L10" s="116">
        <v>15</v>
      </c>
      <c r="M10" s="116"/>
      <c r="N10" s="116"/>
    </row>
    <row r="11" spans="1:14" ht="18" customHeight="1" x14ac:dyDescent="0.3">
      <c r="A11" s="79" t="s">
        <v>170</v>
      </c>
      <c r="B11" s="79" t="s">
        <v>211</v>
      </c>
      <c r="C11" s="79" t="s">
        <v>169</v>
      </c>
      <c r="D11" s="99">
        <v>44901</v>
      </c>
      <c r="E11" s="111" t="str">
        <f t="shared" ca="1" si="0"/>
        <v>3 años, 8 meses y 28 días.</v>
      </c>
      <c r="F11" s="27"/>
      <c r="G11" s="117"/>
      <c r="H11" s="118"/>
      <c r="I11" s="118"/>
      <c r="J11" s="116">
        <v>11</v>
      </c>
      <c r="K11" s="116">
        <v>4</v>
      </c>
      <c r="L11" s="116">
        <v>17</v>
      </c>
      <c r="M11" s="116"/>
      <c r="N11" s="116"/>
    </row>
    <row r="12" spans="1:14" ht="17.399999999999999" customHeight="1" x14ac:dyDescent="0.3">
      <c r="A12" s="79" t="s">
        <v>181</v>
      </c>
      <c r="B12" s="79" t="s">
        <v>212</v>
      </c>
      <c r="C12" s="79" t="s">
        <v>182</v>
      </c>
      <c r="D12" s="99">
        <v>45017</v>
      </c>
      <c r="E12" s="111" t="str">
        <f t="shared" ca="1" si="0"/>
        <v>3 años, 5 meses y 2 días.</v>
      </c>
      <c r="F12" s="27"/>
      <c r="G12" s="117"/>
      <c r="H12" s="118"/>
      <c r="I12" s="118"/>
      <c r="J12" s="118"/>
      <c r="K12" s="116">
        <v>12</v>
      </c>
      <c r="L12" s="116"/>
      <c r="M12" s="116"/>
      <c r="N12" s="116"/>
    </row>
    <row r="13" spans="1:14" ht="18" customHeight="1" x14ac:dyDescent="0.3">
      <c r="A13" s="79" t="s">
        <v>167</v>
      </c>
      <c r="B13" s="79" t="s">
        <v>207</v>
      </c>
      <c r="C13" s="79" t="s">
        <v>168</v>
      </c>
      <c r="D13" s="99">
        <v>45017</v>
      </c>
      <c r="E13" s="111" t="str">
        <f t="shared" ca="1" si="0"/>
        <v>3 años, 5 meses y 2 días.</v>
      </c>
      <c r="F13" s="27"/>
      <c r="G13" s="117"/>
      <c r="H13" s="118"/>
      <c r="I13" s="118"/>
      <c r="J13" s="118"/>
      <c r="K13" s="116"/>
      <c r="L13" s="116"/>
      <c r="M13" s="116"/>
      <c r="N13" s="116"/>
    </row>
    <row r="14" spans="1:14" ht="18" customHeight="1" x14ac:dyDescent="0.3">
      <c r="A14" s="79" t="s">
        <v>32</v>
      </c>
      <c r="B14" s="79" t="s">
        <v>209</v>
      </c>
      <c r="C14" s="79" t="s">
        <v>166</v>
      </c>
      <c r="D14" s="99">
        <v>45031</v>
      </c>
      <c r="E14" s="111" t="str">
        <f t="shared" ca="1" si="0"/>
        <v>3 años, 4 meses y 19 días.</v>
      </c>
      <c r="F14" s="27"/>
      <c r="G14" s="117"/>
      <c r="H14" s="118"/>
      <c r="I14" s="118"/>
      <c r="J14" s="118"/>
      <c r="K14" s="116"/>
      <c r="L14" s="116"/>
      <c r="M14" s="116"/>
      <c r="N14" s="116"/>
    </row>
    <row r="15" spans="1:14" ht="18" customHeight="1" x14ac:dyDescent="0.3">
      <c r="A15" s="88" t="s">
        <v>216</v>
      </c>
      <c r="B15" s="88" t="s">
        <v>217</v>
      </c>
      <c r="C15" s="88" t="s">
        <v>218</v>
      </c>
      <c r="D15" s="93">
        <v>45096</v>
      </c>
      <c r="E15" s="111" t="str">
        <f t="shared" ca="1" si="0"/>
        <v>3 años, 2 meses y 15 días.</v>
      </c>
      <c r="F15" s="27"/>
      <c r="G15" s="117"/>
      <c r="H15" s="118"/>
      <c r="I15" s="118"/>
      <c r="J15" s="118"/>
      <c r="K15" s="116"/>
      <c r="L15" s="116"/>
      <c r="M15" s="116"/>
      <c r="N15" s="116"/>
    </row>
    <row r="16" spans="1:14" ht="18" customHeight="1" x14ac:dyDescent="0.3">
      <c r="A16" s="88" t="s">
        <v>27</v>
      </c>
      <c r="B16" s="88" t="s">
        <v>106</v>
      </c>
      <c r="C16" s="88" t="s">
        <v>105</v>
      </c>
      <c r="D16" s="93">
        <v>45200</v>
      </c>
      <c r="E16" s="111" t="str">
        <f t="shared" ca="1" si="0"/>
        <v>2 años, 11 meses y 2 días.</v>
      </c>
      <c r="F16" s="27"/>
      <c r="G16" s="117"/>
      <c r="H16" s="118"/>
      <c r="I16" s="118"/>
      <c r="J16" s="118"/>
      <c r="K16" s="116">
        <v>7</v>
      </c>
      <c r="L16" s="116"/>
      <c r="M16" s="116"/>
      <c r="N16" s="116"/>
    </row>
    <row r="17" spans="1:14" ht="18" customHeight="1" x14ac:dyDescent="0.3">
      <c r="A17" s="88" t="s">
        <v>282</v>
      </c>
      <c r="B17" s="88" t="s">
        <v>299</v>
      </c>
      <c r="C17" s="88" t="s">
        <v>280</v>
      </c>
      <c r="D17" s="93">
        <v>45243</v>
      </c>
      <c r="E17" s="111" t="str">
        <f t="shared" ca="1" si="0"/>
        <v>2 años, 9 meses y 21 días.</v>
      </c>
      <c r="F17" s="27"/>
      <c r="G17" s="117"/>
      <c r="H17" s="118"/>
      <c r="I17" s="118"/>
      <c r="J17" s="118"/>
      <c r="K17" s="116"/>
      <c r="L17" s="116">
        <v>16</v>
      </c>
      <c r="M17" s="116"/>
      <c r="N17" s="116"/>
    </row>
    <row r="18" spans="1:14" ht="18" customHeight="1" x14ac:dyDescent="0.3">
      <c r="A18" s="88" t="s">
        <v>309</v>
      </c>
      <c r="B18" s="88" t="s">
        <v>310</v>
      </c>
      <c r="C18" s="88" t="s">
        <v>308</v>
      </c>
      <c r="D18" s="93">
        <v>45579</v>
      </c>
      <c r="E18" s="111" t="str">
        <f t="shared" ca="1" si="0"/>
        <v>1 años, 10 meses y 20 días.</v>
      </c>
      <c r="F18" s="27"/>
      <c r="G18" s="117"/>
      <c r="H18" s="118"/>
      <c r="I18" s="118"/>
      <c r="J18" s="118"/>
      <c r="K18" s="118"/>
      <c r="L18" s="116"/>
      <c r="M18" s="116"/>
      <c r="N18" s="116"/>
    </row>
    <row r="19" spans="1:14" ht="18" customHeight="1" x14ac:dyDescent="0.3">
      <c r="A19" s="88" t="s">
        <v>82</v>
      </c>
      <c r="B19" s="88" t="s">
        <v>298</v>
      </c>
      <c r="C19" s="88" t="s">
        <v>288</v>
      </c>
      <c r="D19" s="93">
        <v>45579</v>
      </c>
      <c r="E19" s="111" t="str">
        <f t="shared" ca="1" si="0"/>
        <v>1 años, 10 meses y 20 días.</v>
      </c>
      <c r="F19" s="27"/>
      <c r="G19" s="117"/>
      <c r="H19" s="118"/>
      <c r="I19" s="118"/>
      <c r="J19" s="118"/>
      <c r="K19" s="118"/>
      <c r="L19" s="116"/>
      <c r="M19" s="116"/>
      <c r="N19" s="116"/>
    </row>
    <row r="20" spans="1:14" ht="18" customHeight="1" x14ac:dyDescent="0.3">
      <c r="A20" s="88" t="s">
        <v>301</v>
      </c>
      <c r="B20" s="88" t="s">
        <v>302</v>
      </c>
      <c r="C20" s="88" t="s">
        <v>300</v>
      </c>
      <c r="D20" s="93">
        <v>45597</v>
      </c>
      <c r="E20" s="111" t="str">
        <f t="shared" ca="1" si="0"/>
        <v>1 años, 10 meses y 2 días.</v>
      </c>
      <c r="F20" s="27"/>
      <c r="G20" s="117"/>
      <c r="H20" s="118"/>
      <c r="I20" s="118"/>
      <c r="J20" s="118"/>
      <c r="K20" s="118"/>
      <c r="L20" s="116"/>
      <c r="M20" s="116"/>
      <c r="N20" s="116"/>
    </row>
    <row r="21" spans="1:14" ht="18" customHeight="1" x14ac:dyDescent="0.3">
      <c r="A21" s="88" t="s">
        <v>103</v>
      </c>
      <c r="B21" s="88" t="s">
        <v>304</v>
      </c>
      <c r="C21" s="88" t="s">
        <v>303</v>
      </c>
      <c r="D21" s="93">
        <v>45600</v>
      </c>
      <c r="E21" s="111" t="str">
        <f t="shared" ca="1" si="0"/>
        <v>1 años, 9 meses y 30 días.</v>
      </c>
      <c r="F21" s="27"/>
      <c r="G21" s="117"/>
      <c r="H21" s="118"/>
      <c r="I21" s="118"/>
      <c r="J21" s="118"/>
      <c r="K21" s="118"/>
      <c r="L21" s="116"/>
      <c r="M21" s="116"/>
      <c r="N21" s="116"/>
    </row>
    <row r="22" spans="1:14" ht="18" customHeight="1" x14ac:dyDescent="0.3">
      <c r="A22" s="88" t="s">
        <v>33</v>
      </c>
      <c r="B22" s="88" t="s">
        <v>33</v>
      </c>
      <c r="C22" s="88" t="s">
        <v>297</v>
      </c>
      <c r="D22" s="93">
        <v>45603</v>
      </c>
      <c r="E22" s="111" t="str">
        <f t="shared" ca="1" si="0"/>
        <v>1 años, 9 meses y 27 días.</v>
      </c>
      <c r="F22" s="27"/>
      <c r="G22" s="117"/>
      <c r="H22" s="118"/>
      <c r="I22" s="118"/>
      <c r="J22" s="118"/>
      <c r="K22" s="118"/>
      <c r="L22" s="116"/>
      <c r="M22" s="116"/>
      <c r="N22" s="116"/>
    </row>
    <row r="23" spans="1:14" ht="18" customHeight="1" x14ac:dyDescent="0.3">
      <c r="A23" s="88" t="s">
        <v>306</v>
      </c>
      <c r="B23" s="88" t="s">
        <v>316</v>
      </c>
      <c r="C23" s="88" t="s">
        <v>305</v>
      </c>
      <c r="D23" s="93">
        <v>45726</v>
      </c>
      <c r="E23" s="111" t="str">
        <f t="shared" ca="1" si="0"/>
        <v>1 años, 5 meses y 24 días.</v>
      </c>
      <c r="F23" s="27"/>
      <c r="G23" s="117"/>
      <c r="H23" s="118"/>
      <c r="I23" s="118"/>
      <c r="J23" s="118"/>
      <c r="K23" s="118"/>
      <c r="L23" s="118"/>
      <c r="M23" s="116"/>
      <c r="N23" s="116"/>
    </row>
    <row r="24" spans="1:14" ht="18" customHeight="1" x14ac:dyDescent="0.3">
      <c r="A24" s="88" t="s">
        <v>314</v>
      </c>
      <c r="B24" s="88" t="s">
        <v>315</v>
      </c>
      <c r="C24" s="88" t="s">
        <v>313</v>
      </c>
      <c r="D24" s="93">
        <v>45748</v>
      </c>
      <c r="E24" s="111" t="str">
        <f t="shared" ca="1" si="0"/>
        <v>1 años, 5 meses y 2 días.</v>
      </c>
      <c r="F24" s="27"/>
      <c r="G24" s="117"/>
      <c r="H24" s="118"/>
      <c r="I24" s="118"/>
      <c r="J24" s="118"/>
      <c r="K24" s="118"/>
      <c r="L24" s="118"/>
      <c r="M24" s="116"/>
      <c r="N24" s="116"/>
    </row>
    <row r="25" spans="1:14" ht="18" customHeight="1" x14ac:dyDescent="0.3">
      <c r="A25" s="88" t="s">
        <v>190</v>
      </c>
      <c r="B25" s="88" t="s">
        <v>66</v>
      </c>
      <c r="C25" s="88" t="s">
        <v>191</v>
      </c>
      <c r="D25" s="93">
        <v>45809</v>
      </c>
      <c r="E25" s="111" t="str">
        <f t="shared" ca="1" si="0"/>
        <v>1 años, 3 meses y 2 días.</v>
      </c>
      <c r="F25" s="27"/>
      <c r="G25" s="117"/>
      <c r="H25" s="118"/>
      <c r="I25" s="118"/>
      <c r="J25" s="118"/>
      <c r="K25" s="118">
        <v>11</v>
      </c>
      <c r="L25" s="118">
        <v>10</v>
      </c>
      <c r="M25" s="116"/>
      <c r="N25" s="116"/>
    </row>
    <row r="26" spans="1:14" ht="18" customHeight="1" x14ac:dyDescent="0.3">
      <c r="A26" s="88" t="s">
        <v>317</v>
      </c>
      <c r="B26" s="88" t="s">
        <v>318</v>
      </c>
      <c r="C26" s="88" t="s">
        <v>287</v>
      </c>
      <c r="D26" s="93">
        <v>45839</v>
      </c>
      <c r="E26" s="111" t="str">
        <f t="shared" ca="1" si="0"/>
        <v>1 años, 2 meses y 2 días.</v>
      </c>
      <c r="F26" s="27"/>
      <c r="G26" s="117"/>
      <c r="H26" s="118"/>
      <c r="I26" s="118"/>
      <c r="J26" s="118"/>
      <c r="K26" s="118"/>
      <c r="L26" s="118"/>
      <c r="M26" s="116"/>
      <c r="N26" s="116"/>
    </row>
    <row r="27" spans="1:14" ht="18" customHeight="1" x14ac:dyDescent="0.3">
      <c r="A27" s="88" t="s">
        <v>319</v>
      </c>
      <c r="B27" s="88" t="s">
        <v>320</v>
      </c>
      <c r="C27" s="88" t="s">
        <v>321</v>
      </c>
      <c r="D27" s="93">
        <v>45887</v>
      </c>
      <c r="E27" s="111" t="str">
        <f t="shared" ca="1" si="0"/>
        <v>1 años, 0 meses y 16 días.</v>
      </c>
      <c r="F27" s="27"/>
      <c r="G27" s="117"/>
      <c r="H27" s="118"/>
      <c r="I27" s="118"/>
      <c r="J27" s="118"/>
      <c r="K27" s="118"/>
      <c r="L27" s="118"/>
      <c r="M27" s="116"/>
      <c r="N27" s="116"/>
    </row>
    <row r="28" spans="1:14" ht="18" customHeight="1" x14ac:dyDescent="0.3">
      <c r="A28" s="88" t="s">
        <v>322</v>
      </c>
      <c r="B28" s="88" t="s">
        <v>186</v>
      </c>
      <c r="C28" s="88" t="s">
        <v>323</v>
      </c>
      <c r="D28" s="93">
        <v>45962</v>
      </c>
      <c r="E28" s="111" t="str">
        <f t="shared" ca="1" si="0"/>
        <v>0 años, 10 meses y 2 días.</v>
      </c>
      <c r="F28" s="27"/>
      <c r="G28" s="117"/>
      <c r="H28" s="118"/>
      <c r="I28" s="118"/>
      <c r="J28" s="118"/>
      <c r="K28" s="118"/>
      <c r="L28" s="118"/>
      <c r="M28" s="116"/>
      <c r="N28" s="116"/>
    </row>
    <row r="29" spans="1:14" ht="18" customHeight="1" x14ac:dyDescent="0.3">
      <c r="A29" s="88"/>
      <c r="B29" s="88"/>
      <c r="C29" s="88"/>
      <c r="D29" s="93"/>
      <c r="E29" s="111" t="str">
        <f ca="1">DATEDIF(D29,TODAY(),"Y")&amp;" años, "&amp;DATEDIF(D29,TODAY(),"YM")&amp;" meses y "&amp;DATEDIF(D29,TODAY(),"MD")&amp;" días."</f>
        <v>126 años, 8 meses y 3 días.</v>
      </c>
      <c r="F29" s="27"/>
      <c r="G29" s="117"/>
      <c r="H29" s="118"/>
      <c r="I29" s="118"/>
      <c r="J29" s="118"/>
      <c r="K29" s="118"/>
      <c r="L29" s="118"/>
      <c r="M29" s="116"/>
      <c r="N29" s="116"/>
    </row>
    <row r="30" spans="1:14" ht="18" customHeight="1" x14ac:dyDescent="0.3">
      <c r="A30" s="108" t="s">
        <v>295</v>
      </c>
      <c r="B30" s="108"/>
      <c r="C30" s="108" t="s">
        <v>296</v>
      </c>
      <c r="D30" s="109"/>
      <c r="E30" s="111" t="str">
        <f t="shared" ca="1" si="0"/>
        <v>126 años, 8 meses y 3 días.</v>
      </c>
      <c r="F30" s="27"/>
      <c r="G30" s="117"/>
      <c r="H30" s="118"/>
      <c r="I30" s="118"/>
      <c r="J30" s="118"/>
      <c r="K30" s="118"/>
      <c r="L30" s="118">
        <v>15</v>
      </c>
      <c r="M30" s="116"/>
      <c r="N30" s="116"/>
    </row>
  </sheetData>
  <sheetProtection selectLockedCells="1"/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26371-C102-407B-8C1C-C43EBC4C7626}">
  <dimension ref="A1:W14"/>
  <sheetViews>
    <sheetView workbookViewId="0">
      <selection activeCell="A14" sqref="A14:C14"/>
    </sheetView>
  </sheetViews>
  <sheetFormatPr baseColWidth="10" defaultColWidth="11.44140625" defaultRowHeight="14.4" x14ac:dyDescent="0.3"/>
  <cols>
    <col min="1" max="1" width="12.33203125" style="4" customWidth="1"/>
    <col min="2" max="2" width="16.33203125" style="4" customWidth="1"/>
    <col min="3" max="3" width="20" style="4" customWidth="1"/>
    <col min="4" max="4" width="18" style="4" customWidth="1"/>
    <col min="5" max="5" width="15" style="4" customWidth="1"/>
    <col min="6" max="6" width="17.88671875" style="4" customWidth="1"/>
    <col min="7" max="7" width="15.33203125" style="4" customWidth="1"/>
    <col min="8" max="8" width="11.44140625" style="4" customWidth="1"/>
    <col min="9" max="9" width="15.6640625" style="4" customWidth="1"/>
    <col min="10" max="10" width="20.88671875" style="4" customWidth="1"/>
    <col min="11" max="13" width="19" style="4" customWidth="1"/>
    <col min="14" max="14" width="21.88671875" style="4" customWidth="1"/>
    <col min="15" max="15" width="19" style="4" customWidth="1"/>
    <col min="16" max="18" width="23.5546875" style="4" customWidth="1"/>
    <col min="19" max="20" width="19" style="4" customWidth="1"/>
    <col min="21" max="21" width="43" style="4" customWidth="1"/>
    <col min="22" max="22" width="11.44140625" style="4"/>
    <col min="23" max="23" width="23.33203125" style="4" customWidth="1"/>
    <col min="24" max="16384" width="11.44140625" style="4"/>
  </cols>
  <sheetData>
    <row r="1" spans="1:23" x14ac:dyDescent="0.3">
      <c r="A1" s="14">
        <f ca="1">TODAY()</f>
        <v>46268</v>
      </c>
      <c r="E1" s="5"/>
    </row>
    <row r="2" spans="1:23" x14ac:dyDescent="0.3">
      <c r="A2" s="14"/>
      <c r="E2" s="5"/>
    </row>
    <row r="3" spans="1:23" s="5" customFormat="1" x14ac:dyDescent="0.3">
      <c r="A3" s="18" t="s">
        <v>107</v>
      </c>
      <c r="B3" s="18" t="s">
        <v>108</v>
      </c>
      <c r="C3" s="18" t="s">
        <v>109</v>
      </c>
      <c r="D3" s="18" t="s">
        <v>285</v>
      </c>
      <c r="E3" s="18" t="s">
        <v>136</v>
      </c>
      <c r="F3" s="18" t="s">
        <v>110</v>
      </c>
      <c r="G3" s="18" t="s">
        <v>111</v>
      </c>
      <c r="H3" s="18" t="s">
        <v>112</v>
      </c>
      <c r="I3" s="18" t="s">
        <v>113</v>
      </c>
      <c r="J3" s="18" t="s">
        <v>117</v>
      </c>
      <c r="K3" s="18" t="s">
        <v>124</v>
      </c>
      <c r="L3" s="18" t="s">
        <v>125</v>
      </c>
      <c r="M3" s="18" t="s">
        <v>126</v>
      </c>
      <c r="N3" s="18" t="s">
        <v>127</v>
      </c>
      <c r="O3" s="18" t="s">
        <v>128</v>
      </c>
      <c r="P3" s="18" t="s">
        <v>129</v>
      </c>
      <c r="Q3" s="18" t="s">
        <v>130</v>
      </c>
      <c r="R3" s="18" t="s">
        <v>131</v>
      </c>
      <c r="S3" s="18" t="s">
        <v>187</v>
      </c>
      <c r="U3" s="5" t="s">
        <v>118</v>
      </c>
      <c r="V3" s="5" t="s">
        <v>119</v>
      </c>
      <c r="W3" s="5" t="s">
        <v>120</v>
      </c>
    </row>
    <row r="4" spans="1:23" x14ac:dyDescent="0.3">
      <c r="A4" t="s">
        <v>202</v>
      </c>
      <c r="B4"/>
      <c r="C4" t="s">
        <v>196</v>
      </c>
      <c r="D4" s="51">
        <v>44927</v>
      </c>
      <c r="E4" s="22">
        <f ca="1">($A$1-D4)/365</f>
        <v>3.6739726027397261</v>
      </c>
      <c r="F4"/>
      <c r="G4"/>
      <c r="H4"/>
      <c r="I4"/>
      <c r="J4"/>
      <c r="K4" s="26">
        <f t="shared" ref="K4" ca="1" si="0">($A$1-J4)/365</f>
        <v>126.76164383561644</v>
      </c>
      <c r="L4"/>
      <c r="M4" s="28"/>
      <c r="N4"/>
      <c r="O4"/>
      <c r="P4"/>
      <c r="Q4"/>
      <c r="R4"/>
      <c r="S4" s="28"/>
    </row>
    <row r="5" spans="1:23" x14ac:dyDescent="0.3">
      <c r="A5" s="4" t="s">
        <v>198</v>
      </c>
      <c r="C5" s="4" t="s">
        <v>13</v>
      </c>
      <c r="D5" s="51">
        <v>44928</v>
      </c>
      <c r="E5" s="22">
        <f t="shared" ref="E5:E10" ca="1" si="1">($A$1-D5)/365</f>
        <v>3.6712328767123288</v>
      </c>
      <c r="K5" s="29">
        <f t="shared" ref="K5:K10" ca="1" si="2">($A$1-J5)/365</f>
        <v>126.76164383561644</v>
      </c>
      <c r="S5" s="17"/>
    </row>
    <row r="6" spans="1:23" x14ac:dyDescent="0.3">
      <c r="A6" s="4" t="s">
        <v>199</v>
      </c>
      <c r="C6" s="4" t="s">
        <v>192</v>
      </c>
      <c r="D6" s="51">
        <v>44929</v>
      </c>
      <c r="E6" s="22">
        <f t="shared" ca="1" si="1"/>
        <v>3.6684931506849314</v>
      </c>
      <c r="K6" s="29">
        <f t="shared" ca="1" si="2"/>
        <v>126.76164383561644</v>
      </c>
      <c r="S6" s="17"/>
    </row>
    <row r="7" spans="1:23" x14ac:dyDescent="0.3">
      <c r="A7" s="4" t="s">
        <v>200</v>
      </c>
      <c r="C7" s="4" t="s">
        <v>201</v>
      </c>
      <c r="D7" s="51">
        <v>44930</v>
      </c>
      <c r="E7" s="22">
        <f t="shared" ca="1" si="1"/>
        <v>3.6657534246575341</v>
      </c>
      <c r="K7" s="29">
        <f t="shared" ca="1" si="2"/>
        <v>126.76164383561644</v>
      </c>
      <c r="S7" s="17"/>
    </row>
    <row r="8" spans="1:23" x14ac:dyDescent="0.3">
      <c r="A8" s="4" t="s">
        <v>283</v>
      </c>
      <c r="C8" s="4" t="s">
        <v>279</v>
      </c>
      <c r="D8" s="51">
        <v>44931</v>
      </c>
      <c r="E8" s="22">
        <f t="shared" ca="1" si="1"/>
        <v>3.6630136986301371</v>
      </c>
      <c r="K8" s="14">
        <f t="shared" ca="1" si="2"/>
        <v>126.76164383561644</v>
      </c>
      <c r="S8" s="17"/>
    </row>
    <row r="9" spans="1:23" x14ac:dyDescent="0.3">
      <c r="A9" s="4" t="s">
        <v>197</v>
      </c>
      <c r="C9" s="4" t="s">
        <v>105</v>
      </c>
      <c r="D9" s="51">
        <v>44933</v>
      </c>
      <c r="E9" s="22">
        <f t="shared" ca="1" si="1"/>
        <v>3.6575342465753424</v>
      </c>
      <c r="K9" s="14">
        <f t="shared" ca="1" si="2"/>
        <v>126.76164383561644</v>
      </c>
    </row>
    <row r="10" spans="1:23" x14ac:dyDescent="0.3">
      <c r="A10" s="4" t="s">
        <v>284</v>
      </c>
      <c r="C10" s="4" t="s">
        <v>281</v>
      </c>
      <c r="D10" s="51">
        <v>44934</v>
      </c>
      <c r="E10" s="22">
        <f t="shared" ca="1" si="1"/>
        <v>3.6547945205479451</v>
      </c>
      <c r="K10" s="14">
        <f t="shared" ca="1" si="2"/>
        <v>126.76164383561644</v>
      </c>
    </row>
    <row r="11" spans="1:23" x14ac:dyDescent="0.3">
      <c r="A11" s="4" t="s">
        <v>289</v>
      </c>
      <c r="C11" s="4" t="s">
        <v>287</v>
      </c>
      <c r="E11" s="4">
        <f ca="1">($A$1-D11)/365</f>
        <v>126.76164383561644</v>
      </c>
      <c r="K11" s="14">
        <f ca="1">($A$1-J11)/365</f>
        <v>126.76164383561644</v>
      </c>
    </row>
    <row r="12" spans="1:23" x14ac:dyDescent="0.3">
      <c r="A12" s="4" t="s">
        <v>283</v>
      </c>
      <c r="C12" s="4" t="s">
        <v>288</v>
      </c>
      <c r="E12" s="4">
        <f ca="1">($A$1-D12)/365</f>
        <v>126.76164383561644</v>
      </c>
      <c r="K12" s="14">
        <f ca="1">($A$1-J12)/365</f>
        <v>126.76164383561644</v>
      </c>
    </row>
    <row r="13" spans="1:23" x14ac:dyDescent="0.3">
      <c r="A13" s="4" t="s">
        <v>293</v>
      </c>
      <c r="C13" s="4" t="s">
        <v>290</v>
      </c>
      <c r="E13" s="4">
        <f ca="1">($A$1-D13)/365</f>
        <v>126.76164383561644</v>
      </c>
      <c r="K13" s="14">
        <f ca="1">($A$1-J13)/365</f>
        <v>126.76164383561644</v>
      </c>
    </row>
    <row r="14" spans="1:23" x14ac:dyDescent="0.3">
      <c r="A14" s="4" t="s">
        <v>106</v>
      </c>
      <c r="B14" s="4" t="s">
        <v>66</v>
      </c>
      <c r="C14" s="4" t="s">
        <v>294</v>
      </c>
      <c r="D14" s="14">
        <v>45261</v>
      </c>
      <c r="E14" s="4">
        <f ca="1">($A$1-D14)/365</f>
        <v>2.7589041095890412</v>
      </c>
      <c r="K14" s="14">
        <f ca="1">($A$1-J14)/365</f>
        <v>126.76164383561644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E96DB-B0AD-4B52-8845-462431C4BCB0}">
  <dimension ref="A1:AK34"/>
  <sheetViews>
    <sheetView topLeftCell="A5" workbookViewId="0">
      <selection activeCell="B34" sqref="B34"/>
    </sheetView>
  </sheetViews>
  <sheetFormatPr baseColWidth="10" defaultColWidth="11.44140625" defaultRowHeight="14.4" x14ac:dyDescent="0.3"/>
  <cols>
    <col min="1" max="1" width="12.33203125" style="4" customWidth="1"/>
    <col min="2" max="2" width="16.33203125" style="4" customWidth="1"/>
    <col min="3" max="3" width="20" style="4" customWidth="1"/>
    <col min="4" max="4" width="18" style="4" customWidth="1"/>
    <col min="5" max="6" width="17.6640625" style="4" customWidth="1"/>
    <col min="7" max="8" width="15.44140625" style="4" customWidth="1"/>
    <col min="9" max="9" width="15" style="4" customWidth="1"/>
    <col min="10" max="10" width="17.6640625" style="4" customWidth="1"/>
    <col min="11" max="11" width="16.33203125" style="4" customWidth="1"/>
    <col min="12" max="12" width="15.33203125" style="4" customWidth="1"/>
    <col min="13" max="13" width="8.6640625" style="4" customWidth="1"/>
    <col min="14" max="14" width="15.6640625" style="4" customWidth="1"/>
    <col min="15" max="15" width="19.6640625" style="4" customWidth="1"/>
    <col min="16" max="18" width="19" style="4" customWidth="1"/>
    <col min="19" max="19" width="21.88671875" style="4" customWidth="1"/>
    <col min="20" max="20" width="19" style="4" customWidth="1"/>
    <col min="21" max="23" width="23.5546875" style="4" customWidth="1"/>
    <col min="24" max="25" width="19" style="4" customWidth="1"/>
    <col min="26" max="26" width="43" style="4" customWidth="1"/>
    <col min="27" max="27" width="11.44140625" style="4"/>
    <col min="28" max="28" width="23.33203125" style="4" customWidth="1"/>
    <col min="29" max="16384" width="11.44140625" style="4"/>
  </cols>
  <sheetData>
    <row r="1" spans="1:36" x14ac:dyDescent="0.3">
      <c r="A1" s="14">
        <f ca="1">TODAY()</f>
        <v>46268</v>
      </c>
      <c r="G1" s="123" t="s">
        <v>135</v>
      </c>
      <c r="H1" s="123"/>
      <c r="I1" s="5"/>
      <c r="J1" s="5"/>
    </row>
    <row r="2" spans="1:36" x14ac:dyDescent="0.3">
      <c r="A2" s="14"/>
      <c r="G2" s="5"/>
      <c r="H2" s="5"/>
      <c r="I2" s="5"/>
      <c r="J2" s="5"/>
    </row>
    <row r="3" spans="1:36" s="5" customFormat="1" x14ac:dyDescent="0.3">
      <c r="A3" s="18" t="s">
        <v>107</v>
      </c>
      <c r="B3" s="18" t="s">
        <v>108</v>
      </c>
      <c r="C3" s="18" t="s">
        <v>109</v>
      </c>
      <c r="D3" s="18" t="s">
        <v>132</v>
      </c>
      <c r="E3" s="18" t="s">
        <v>164</v>
      </c>
      <c r="F3" s="18" t="s">
        <v>165</v>
      </c>
      <c r="G3" s="18" t="s">
        <v>133</v>
      </c>
      <c r="H3" s="18" t="s">
        <v>134</v>
      </c>
      <c r="I3" s="18" t="s">
        <v>136</v>
      </c>
      <c r="J3" s="18" t="s">
        <v>137</v>
      </c>
      <c r="K3" s="18" t="s">
        <v>110</v>
      </c>
      <c r="L3" s="18" t="s">
        <v>111</v>
      </c>
      <c r="M3" s="18" t="s">
        <v>112</v>
      </c>
      <c r="N3" s="18" t="s">
        <v>113</v>
      </c>
      <c r="O3" s="18" t="s">
        <v>117</v>
      </c>
      <c r="P3" s="18" t="s">
        <v>124</v>
      </c>
      <c r="Q3" s="18" t="s">
        <v>125</v>
      </c>
      <c r="R3" s="18" t="s">
        <v>126</v>
      </c>
      <c r="S3" s="18" t="s">
        <v>127</v>
      </c>
      <c r="T3" s="18" t="s">
        <v>128</v>
      </c>
      <c r="U3" s="18" t="s">
        <v>129</v>
      </c>
      <c r="V3" s="18" t="s">
        <v>130</v>
      </c>
      <c r="W3" s="18" t="s">
        <v>131</v>
      </c>
      <c r="X3" s="18" t="s">
        <v>187</v>
      </c>
      <c r="Z3" s="5" t="s">
        <v>118</v>
      </c>
      <c r="AA3" s="5" t="s">
        <v>119</v>
      </c>
      <c r="AB3" s="5" t="s">
        <v>120</v>
      </c>
    </row>
    <row r="4" spans="1:36" x14ac:dyDescent="0.3">
      <c r="A4" s="19" t="s">
        <v>8</v>
      </c>
      <c r="B4" s="19" t="s">
        <v>9</v>
      </c>
      <c r="C4" s="19" t="s">
        <v>7</v>
      </c>
      <c r="D4" s="20">
        <v>43525</v>
      </c>
      <c r="E4" s="20" t="s">
        <v>144</v>
      </c>
      <c r="F4" s="20"/>
      <c r="G4" s="21"/>
      <c r="H4" s="21"/>
      <c r="I4" s="22">
        <f t="shared" ref="I4:I12" ca="1" si="0">($A$1-D4)/365</f>
        <v>7.515068493150685</v>
      </c>
      <c r="J4" s="21"/>
      <c r="K4" s="19" t="s">
        <v>10</v>
      </c>
      <c r="L4" s="23">
        <v>19308116</v>
      </c>
      <c r="M4" s="24">
        <v>9</v>
      </c>
      <c r="N4" s="19" t="s">
        <v>115</v>
      </c>
      <c r="O4" s="24" t="s">
        <v>11</v>
      </c>
      <c r="P4" s="26">
        <f t="shared" ref="P4:P12" ca="1" si="1">($A$1-O4)/365</f>
        <v>30.405479452054795</v>
      </c>
      <c r="Q4" s="24"/>
      <c r="R4" s="27"/>
      <c r="S4" s="24"/>
      <c r="T4" s="24"/>
      <c r="U4" s="24"/>
      <c r="V4" s="24"/>
      <c r="W4" s="24"/>
      <c r="X4" s="27"/>
      <c r="Y4" s="3"/>
      <c r="Z4" s="1" t="s">
        <v>12</v>
      </c>
      <c r="AA4" s="3" t="s">
        <v>5</v>
      </c>
      <c r="AB4" s="4" t="s">
        <v>6</v>
      </c>
    </row>
    <row r="5" spans="1:36" x14ac:dyDescent="0.3">
      <c r="A5" s="19" t="s">
        <v>86</v>
      </c>
      <c r="B5" s="19" t="s">
        <v>87</v>
      </c>
      <c r="C5" s="19" t="s">
        <v>85</v>
      </c>
      <c r="D5" s="20">
        <v>43770</v>
      </c>
      <c r="E5" s="20" t="s">
        <v>144</v>
      </c>
      <c r="F5" s="20"/>
      <c r="G5" s="21"/>
      <c r="H5" s="21"/>
      <c r="I5" s="22">
        <f t="shared" ca="1" si="0"/>
        <v>6.8438356164383558</v>
      </c>
      <c r="J5" s="21"/>
      <c r="K5" s="19" t="s">
        <v>10</v>
      </c>
      <c r="L5" s="23">
        <v>16869132</v>
      </c>
      <c r="M5" s="24">
        <v>7</v>
      </c>
      <c r="N5" s="19" t="s">
        <v>115</v>
      </c>
      <c r="O5" s="24" t="s">
        <v>88</v>
      </c>
      <c r="P5" s="26">
        <f t="shared" ca="1" si="1"/>
        <v>38.315068493150683</v>
      </c>
      <c r="Q5" s="24"/>
      <c r="R5" s="27"/>
      <c r="S5" s="24"/>
      <c r="T5" s="24"/>
      <c r="U5" s="24"/>
      <c r="V5" s="24"/>
      <c r="W5" s="24"/>
      <c r="X5" s="27"/>
      <c r="Y5" s="3"/>
      <c r="Z5" s="1" t="s">
        <v>89</v>
      </c>
      <c r="AA5" s="3" t="s">
        <v>17</v>
      </c>
      <c r="AB5" s="4" t="s">
        <v>29</v>
      </c>
    </row>
    <row r="6" spans="1:36" x14ac:dyDescent="0.3">
      <c r="A6" s="19" t="s">
        <v>70</v>
      </c>
      <c r="B6" s="19" t="s">
        <v>71</v>
      </c>
      <c r="C6" s="19" t="s">
        <v>69</v>
      </c>
      <c r="D6" s="20">
        <v>43812</v>
      </c>
      <c r="E6" s="20" t="s">
        <v>144</v>
      </c>
      <c r="F6" s="20"/>
      <c r="G6" s="21" t="s">
        <v>144</v>
      </c>
      <c r="H6" s="21" t="s">
        <v>123</v>
      </c>
      <c r="I6" s="22">
        <f t="shared" ca="1" si="0"/>
        <v>6.7287671232876711</v>
      </c>
      <c r="J6" s="21" t="s">
        <v>123</v>
      </c>
      <c r="K6" s="19" t="s">
        <v>10</v>
      </c>
      <c r="L6" s="23">
        <v>12614004</v>
      </c>
      <c r="M6" s="24">
        <v>5</v>
      </c>
      <c r="N6" s="19" t="s">
        <v>115</v>
      </c>
      <c r="O6" s="24" t="s">
        <v>72</v>
      </c>
      <c r="P6" s="26">
        <f t="shared" ca="1" si="1"/>
        <v>52.602739726027394</v>
      </c>
      <c r="Q6" s="24" t="s">
        <v>152</v>
      </c>
      <c r="R6" s="27">
        <v>934055269</v>
      </c>
      <c r="S6" s="24" t="s">
        <v>139</v>
      </c>
      <c r="T6" s="24" t="s">
        <v>140</v>
      </c>
      <c r="U6" s="24" t="s">
        <v>153</v>
      </c>
      <c r="V6" s="24" t="s">
        <v>142</v>
      </c>
      <c r="W6" s="24" t="s">
        <v>143</v>
      </c>
      <c r="X6" s="27">
        <v>12614004</v>
      </c>
      <c r="Y6" s="3"/>
      <c r="Z6" s="1" t="s">
        <v>73</v>
      </c>
      <c r="AA6" s="3" t="s">
        <v>5</v>
      </c>
      <c r="AB6" s="4" t="s">
        <v>18</v>
      </c>
    </row>
    <row r="7" spans="1:36" x14ac:dyDescent="0.3">
      <c r="A7" s="19" t="s">
        <v>81</v>
      </c>
      <c r="B7" s="19" t="s">
        <v>82</v>
      </c>
      <c r="C7" s="19" t="s">
        <v>80</v>
      </c>
      <c r="D7" s="20">
        <v>43891</v>
      </c>
      <c r="E7" s="20" t="s">
        <v>144</v>
      </c>
      <c r="F7" s="20"/>
      <c r="G7" s="21"/>
      <c r="H7" s="21"/>
      <c r="I7" s="22">
        <f t="shared" ca="1" si="0"/>
        <v>6.5123287671232877</v>
      </c>
      <c r="J7" s="21"/>
      <c r="K7" s="19" t="s">
        <v>10</v>
      </c>
      <c r="L7" s="23">
        <v>17181438</v>
      </c>
      <c r="M7" s="24">
        <v>3</v>
      </c>
      <c r="N7" s="19" t="s">
        <v>115</v>
      </c>
      <c r="O7" s="24" t="s">
        <v>83</v>
      </c>
      <c r="P7" s="26">
        <f t="shared" ca="1" si="1"/>
        <v>37.339726027397262</v>
      </c>
      <c r="Q7" s="24"/>
      <c r="R7" s="27"/>
      <c r="S7" s="24"/>
      <c r="T7" s="24"/>
      <c r="U7" s="24"/>
      <c r="V7" s="24"/>
      <c r="W7" s="24"/>
      <c r="X7" s="27"/>
      <c r="Y7" s="3"/>
      <c r="Z7" s="1" t="s">
        <v>84</v>
      </c>
      <c r="AA7" s="3" t="s">
        <v>5</v>
      </c>
      <c r="AB7" s="4" t="s">
        <v>18</v>
      </c>
    </row>
    <row r="8" spans="1:36" x14ac:dyDescent="0.3">
      <c r="A8" s="19" t="s">
        <v>75</v>
      </c>
      <c r="B8" s="19" t="s">
        <v>76</v>
      </c>
      <c r="C8" s="19" t="s">
        <v>74</v>
      </c>
      <c r="D8" s="20">
        <v>43952</v>
      </c>
      <c r="E8" s="20" t="s">
        <v>144</v>
      </c>
      <c r="F8" s="20"/>
      <c r="G8" s="21" t="s">
        <v>123</v>
      </c>
      <c r="H8" s="21" t="s">
        <v>123</v>
      </c>
      <c r="I8" s="22">
        <f t="shared" ca="1" si="0"/>
        <v>6.3452054794520549</v>
      </c>
      <c r="J8" s="21" t="s">
        <v>123</v>
      </c>
      <c r="K8" s="19" t="s">
        <v>10</v>
      </c>
      <c r="L8" s="23">
        <v>11614821</v>
      </c>
      <c r="M8" s="24">
        <v>8</v>
      </c>
      <c r="N8" s="19" t="s">
        <v>115</v>
      </c>
      <c r="O8" s="24" t="s">
        <v>77</v>
      </c>
      <c r="P8" s="26">
        <f t="shared" ca="1" si="1"/>
        <v>56.528767123287672</v>
      </c>
      <c r="Q8" s="24" t="s">
        <v>154</v>
      </c>
      <c r="R8" s="27">
        <v>952088069</v>
      </c>
      <c r="S8" s="24" t="s">
        <v>139</v>
      </c>
      <c r="T8" s="24" t="s">
        <v>140</v>
      </c>
      <c r="U8" s="24" t="s">
        <v>141</v>
      </c>
      <c r="V8" s="24" t="s">
        <v>142</v>
      </c>
      <c r="W8" s="24" t="s">
        <v>143</v>
      </c>
      <c r="X8" s="27">
        <v>11614821</v>
      </c>
      <c r="Y8" s="3"/>
      <c r="Z8" s="1" t="s">
        <v>73</v>
      </c>
      <c r="AA8" s="3" t="s">
        <v>17</v>
      </c>
      <c r="AB8" s="4" t="s">
        <v>18</v>
      </c>
    </row>
    <row r="9" spans="1:36" x14ac:dyDescent="0.3">
      <c r="A9" s="19" t="s">
        <v>20</v>
      </c>
      <c r="B9" s="19" t="s">
        <v>21</v>
      </c>
      <c r="C9" s="19" t="s">
        <v>19</v>
      </c>
      <c r="D9" s="20">
        <v>44044</v>
      </c>
      <c r="E9" s="20" t="s">
        <v>144</v>
      </c>
      <c r="F9" s="20"/>
      <c r="G9" s="21" t="s">
        <v>123</v>
      </c>
      <c r="H9" s="21" t="s">
        <v>123</v>
      </c>
      <c r="I9" s="22">
        <f t="shared" ca="1" si="0"/>
        <v>6.0931506849315067</v>
      </c>
      <c r="J9" s="21" t="s">
        <v>144</v>
      </c>
      <c r="K9" s="19" t="s">
        <v>10</v>
      </c>
      <c r="L9" s="23">
        <v>18506577</v>
      </c>
      <c r="M9" s="24">
        <v>4</v>
      </c>
      <c r="N9" s="19" t="s">
        <v>115</v>
      </c>
      <c r="O9" s="24" t="s">
        <v>22</v>
      </c>
      <c r="P9" s="26">
        <f t="shared" ca="1" si="1"/>
        <v>33.150684931506852</v>
      </c>
      <c r="Q9" s="24" t="s">
        <v>161</v>
      </c>
      <c r="R9" s="27">
        <v>979669468</v>
      </c>
      <c r="S9" s="24" t="s">
        <v>139</v>
      </c>
      <c r="T9" s="24" t="s">
        <v>140</v>
      </c>
      <c r="U9" s="24" t="s">
        <v>162</v>
      </c>
      <c r="V9" s="24" t="s">
        <v>142</v>
      </c>
      <c r="W9" s="24" t="s">
        <v>143</v>
      </c>
      <c r="X9" s="27">
        <v>18506577</v>
      </c>
      <c r="Y9" s="3"/>
      <c r="Z9" s="1" t="s">
        <v>23</v>
      </c>
      <c r="AA9" s="3" t="s">
        <v>5</v>
      </c>
      <c r="AB9" s="4" t="s">
        <v>18</v>
      </c>
    </row>
    <row r="10" spans="1:36" x14ac:dyDescent="0.3">
      <c r="A10" s="19" t="s">
        <v>38</v>
      </c>
      <c r="B10" s="19" t="s">
        <v>39</v>
      </c>
      <c r="C10" s="19" t="s">
        <v>37</v>
      </c>
      <c r="D10" s="20">
        <v>44148</v>
      </c>
      <c r="E10" s="20" t="s">
        <v>144</v>
      </c>
      <c r="F10" s="20"/>
      <c r="G10" s="21"/>
      <c r="H10" s="21"/>
      <c r="I10" s="22">
        <f t="shared" ca="1" si="0"/>
        <v>5.8082191780821919</v>
      </c>
      <c r="J10" s="21"/>
      <c r="K10" s="19" t="s">
        <v>3</v>
      </c>
      <c r="L10" s="23" t="s">
        <v>40</v>
      </c>
      <c r="M10" s="24"/>
      <c r="N10" s="19" t="s">
        <v>114</v>
      </c>
      <c r="O10" s="24" t="s">
        <v>41</v>
      </c>
      <c r="P10" s="26">
        <f t="shared" ca="1" si="1"/>
        <v>27.547945205479451</v>
      </c>
      <c r="Q10" s="24"/>
      <c r="R10" s="27"/>
      <c r="S10" s="24"/>
      <c r="T10" s="24"/>
      <c r="U10" s="24"/>
      <c r="V10" s="24"/>
      <c r="W10" s="24"/>
      <c r="X10" s="27"/>
      <c r="Y10" s="3"/>
      <c r="Z10" s="1" t="s">
        <v>42</v>
      </c>
      <c r="AA10" s="3" t="s">
        <v>5</v>
      </c>
      <c r="AB10" s="4" t="s">
        <v>24</v>
      </c>
    </row>
    <row r="11" spans="1:36" x14ac:dyDescent="0.3">
      <c r="A11" s="19" t="s">
        <v>91</v>
      </c>
      <c r="B11" s="19" t="s">
        <v>92</v>
      </c>
      <c r="C11" s="19" t="s">
        <v>90</v>
      </c>
      <c r="D11" s="20">
        <v>44166</v>
      </c>
      <c r="E11" s="20" t="s">
        <v>144</v>
      </c>
      <c r="F11" s="20"/>
      <c r="G11" s="21"/>
      <c r="H11" s="21"/>
      <c r="I11" s="22">
        <f t="shared" ca="1" si="0"/>
        <v>5.7589041095890412</v>
      </c>
      <c r="J11" s="21"/>
      <c r="K11" s="19" t="s">
        <v>10</v>
      </c>
      <c r="L11" s="23">
        <v>19178056</v>
      </c>
      <c r="M11" s="24">
        <v>6</v>
      </c>
      <c r="N11" s="19" t="s">
        <v>115</v>
      </c>
      <c r="O11" s="24" t="s">
        <v>93</v>
      </c>
      <c r="P11" s="26">
        <f t="shared" ca="1" si="1"/>
        <v>31.030136986301368</v>
      </c>
      <c r="Q11" s="24"/>
      <c r="R11" s="27"/>
      <c r="S11" s="24"/>
      <c r="T11" s="24"/>
      <c r="U11" s="24"/>
      <c r="V11" s="24"/>
      <c r="W11" s="24"/>
      <c r="X11" s="27"/>
      <c r="Y11" s="3"/>
      <c r="Z11" s="1" t="s">
        <v>94</v>
      </c>
      <c r="AA11" s="3" t="s">
        <v>5</v>
      </c>
      <c r="AB11" s="4" t="s">
        <v>36</v>
      </c>
    </row>
    <row r="12" spans="1:36" x14ac:dyDescent="0.3">
      <c r="A12" s="19" t="s">
        <v>32</v>
      </c>
      <c r="B12" s="19" t="s">
        <v>33</v>
      </c>
      <c r="C12" s="19" t="s">
        <v>31</v>
      </c>
      <c r="D12" s="20"/>
      <c r="E12" s="20"/>
      <c r="F12" s="20"/>
      <c r="G12" s="21"/>
      <c r="H12" s="21"/>
      <c r="I12" s="22">
        <f t="shared" ca="1" si="0"/>
        <v>126.76164383561644</v>
      </c>
      <c r="J12" s="21"/>
      <c r="K12" s="19" t="s">
        <v>10</v>
      </c>
      <c r="L12" s="23">
        <v>19444183</v>
      </c>
      <c r="M12" s="24">
        <v>5</v>
      </c>
      <c r="N12" s="19" t="s">
        <v>115</v>
      </c>
      <c r="O12" s="24" t="s">
        <v>34</v>
      </c>
      <c r="P12" s="26">
        <f t="shared" ca="1" si="1"/>
        <v>30.057534246575344</v>
      </c>
      <c r="Q12" s="24"/>
      <c r="R12" s="27"/>
      <c r="S12" s="24"/>
      <c r="T12" s="24"/>
      <c r="U12" s="24"/>
      <c r="V12" s="24"/>
      <c r="W12" s="24"/>
      <c r="X12" s="27"/>
      <c r="Y12" s="3"/>
      <c r="Z12" s="1" t="s">
        <v>35</v>
      </c>
      <c r="AA12" s="3" t="s">
        <v>5</v>
      </c>
      <c r="AB12" s="4" t="s">
        <v>36</v>
      </c>
    </row>
    <row r="13" spans="1:36" ht="18" customHeight="1" x14ac:dyDescent="0.3">
      <c r="A13" t="s">
        <v>183</v>
      </c>
      <c r="B13" t="s">
        <v>197</v>
      </c>
      <c r="C13" t="s">
        <v>184</v>
      </c>
      <c r="D13" s="18"/>
      <c r="E13" s="18"/>
      <c r="F13"/>
      <c r="G13"/>
      <c r="H13" s="18"/>
      <c r="I13"/>
      <c r="J13" s="22"/>
      <c r="K13" s="21"/>
      <c r="L13"/>
      <c r="M13"/>
      <c r="N13"/>
      <c r="O13"/>
      <c r="P13"/>
      <c r="Q13" s="26">
        <f t="shared" ref="Q13" ca="1" si="2">($A$1-P13)/365</f>
        <v>126.76164383561644</v>
      </c>
      <c r="R13"/>
      <c r="S13" s="30"/>
      <c r="T13"/>
      <c r="U13"/>
      <c r="V13"/>
      <c r="W13"/>
      <c r="X13"/>
      <c r="Y13"/>
      <c r="Z13"/>
      <c r="AA13"/>
    </row>
    <row r="14" spans="1:36" x14ac:dyDescent="0.3">
      <c r="A14" s="4" t="s">
        <v>1</v>
      </c>
      <c r="B14" s="4" t="s">
        <v>2</v>
      </c>
      <c r="C14" s="4" t="s">
        <v>0</v>
      </c>
      <c r="D14" s="60">
        <v>43722</v>
      </c>
      <c r="E14" s="60">
        <v>43722</v>
      </c>
      <c r="F14" s="4" t="s">
        <v>18</v>
      </c>
      <c r="G14" s="60">
        <v>43722</v>
      </c>
      <c r="H14" s="61" t="s">
        <v>123</v>
      </c>
      <c r="I14" s="61" t="s">
        <v>123</v>
      </c>
      <c r="J14" s="17">
        <v>5</v>
      </c>
      <c r="K14" s="17">
        <v>7</v>
      </c>
      <c r="L14" s="17">
        <v>12</v>
      </c>
      <c r="M14" s="61" t="s">
        <v>123</v>
      </c>
      <c r="N14" s="4" t="s">
        <v>10</v>
      </c>
      <c r="O14" s="62">
        <v>33149369</v>
      </c>
      <c r="P14" s="4">
        <v>4</v>
      </c>
      <c r="Q14" s="4" t="s">
        <v>114</v>
      </c>
      <c r="R14" s="14">
        <v>28885</v>
      </c>
      <c r="S14" s="63">
        <v>46.268493150684932</v>
      </c>
      <c r="T14" s="4" t="s">
        <v>152</v>
      </c>
      <c r="U14" s="4" t="s">
        <v>4</v>
      </c>
      <c r="V14" s="17">
        <v>967515343</v>
      </c>
      <c r="W14" s="17" t="s">
        <v>243</v>
      </c>
      <c r="X14" s="4" t="s">
        <v>163</v>
      </c>
      <c r="Y14" s="4" t="s">
        <v>140</v>
      </c>
      <c r="Z14" s="4" t="s">
        <v>162</v>
      </c>
      <c r="AC14" s="17"/>
      <c r="AD14" s="64">
        <v>650000</v>
      </c>
      <c r="AE14" s="64">
        <v>120000</v>
      </c>
      <c r="AF14" s="64">
        <v>75000</v>
      </c>
      <c r="AH14" s="64"/>
      <c r="AI14" s="64"/>
      <c r="AJ14" s="64"/>
    </row>
    <row r="15" spans="1:36" x14ac:dyDescent="0.3">
      <c r="A15" s="4" t="s">
        <v>102</v>
      </c>
      <c r="B15" s="4" t="s">
        <v>103</v>
      </c>
      <c r="C15" s="4" t="s">
        <v>101</v>
      </c>
      <c r="D15" s="60">
        <v>44075</v>
      </c>
      <c r="E15" s="60">
        <v>44166</v>
      </c>
      <c r="F15" s="4" t="s">
        <v>18</v>
      </c>
      <c r="G15" s="60">
        <v>44228</v>
      </c>
      <c r="H15" s="61" t="s">
        <v>123</v>
      </c>
      <c r="I15" s="61" t="s">
        <v>123</v>
      </c>
      <c r="J15" s="17">
        <v>4</v>
      </c>
      <c r="K15" s="17">
        <v>7</v>
      </c>
      <c r="L15" s="17">
        <v>25</v>
      </c>
      <c r="M15" s="61"/>
      <c r="N15" s="4" t="s">
        <v>10</v>
      </c>
      <c r="O15" s="62">
        <v>16435655</v>
      </c>
      <c r="P15" s="4">
        <v>8</v>
      </c>
      <c r="Q15" s="4" t="s">
        <v>115</v>
      </c>
      <c r="R15" s="29" t="s">
        <v>228</v>
      </c>
      <c r="S15" s="63">
        <v>40.112328767123287</v>
      </c>
      <c r="T15" s="4" t="s">
        <v>159</v>
      </c>
      <c r="U15" s="4" t="s">
        <v>104</v>
      </c>
      <c r="V15" s="17">
        <v>952183051</v>
      </c>
      <c r="W15" s="17" t="s">
        <v>249</v>
      </c>
      <c r="X15" s="29" t="s">
        <v>163</v>
      </c>
      <c r="Y15" s="29" t="s">
        <v>250</v>
      </c>
      <c r="Z15" s="29" t="s">
        <v>222</v>
      </c>
      <c r="AA15" s="29" t="s">
        <v>155</v>
      </c>
      <c r="AB15" s="29" t="s">
        <v>148</v>
      </c>
      <c r="AC15" s="17" t="s">
        <v>251</v>
      </c>
      <c r="AD15" s="64">
        <v>600000</v>
      </c>
      <c r="AE15" s="64">
        <v>100000</v>
      </c>
      <c r="AF15" s="64"/>
      <c r="AH15" s="64"/>
      <c r="AI15" s="64"/>
      <c r="AJ15" s="64"/>
    </row>
    <row r="16" spans="1:36" x14ac:dyDescent="0.3">
      <c r="A16" s="4" t="s">
        <v>188</v>
      </c>
      <c r="B16" s="4" t="s">
        <v>215</v>
      </c>
      <c r="C16" s="4" t="s">
        <v>189</v>
      </c>
      <c r="D16" s="14">
        <v>44896</v>
      </c>
      <c r="E16" s="14">
        <v>44986</v>
      </c>
      <c r="F16" s="4" t="s">
        <v>18</v>
      </c>
      <c r="G16" s="14">
        <v>45078</v>
      </c>
      <c r="H16" s="4" t="s">
        <v>123</v>
      </c>
      <c r="I16" s="4" t="s">
        <v>123</v>
      </c>
      <c r="J16" s="17">
        <v>2</v>
      </c>
      <c r="K16" s="17">
        <v>4</v>
      </c>
      <c r="L16" s="17">
        <v>25</v>
      </c>
      <c r="M16" s="61" t="s">
        <v>144</v>
      </c>
      <c r="N16" s="4" t="s">
        <v>224</v>
      </c>
      <c r="O16" s="62">
        <v>18791101</v>
      </c>
      <c r="P16" s="4" t="s">
        <v>61</v>
      </c>
      <c r="Q16" s="4" t="s">
        <v>115</v>
      </c>
      <c r="R16" s="14">
        <v>34484</v>
      </c>
      <c r="S16" s="63">
        <v>30.92876712328767</v>
      </c>
      <c r="T16" s="4" t="s">
        <v>159</v>
      </c>
      <c r="U16" s="4" t="s">
        <v>275</v>
      </c>
      <c r="V16" s="4">
        <v>964646352</v>
      </c>
      <c r="W16" s="4" t="s">
        <v>276</v>
      </c>
      <c r="X16" s="4" t="s">
        <v>163</v>
      </c>
      <c r="Y16" s="4" t="s">
        <v>140</v>
      </c>
      <c r="Z16" s="4" t="s">
        <v>153</v>
      </c>
      <c r="AA16" s="4" t="s">
        <v>232</v>
      </c>
      <c r="AB16" s="4" t="s">
        <v>143</v>
      </c>
      <c r="AC16" s="4">
        <v>69768544</v>
      </c>
      <c r="AD16" s="64">
        <v>420000</v>
      </c>
      <c r="AE16" s="64">
        <v>120000</v>
      </c>
      <c r="AF16" s="64">
        <v>75000</v>
      </c>
      <c r="AG16" s="14">
        <v>44986</v>
      </c>
      <c r="AH16" s="64">
        <v>500000</v>
      </c>
      <c r="AI16" s="64">
        <v>138000</v>
      </c>
      <c r="AJ16" s="64">
        <v>75000</v>
      </c>
    </row>
    <row r="17" spans="1:37" x14ac:dyDescent="0.3">
      <c r="A17" s="4" t="s">
        <v>179</v>
      </c>
      <c r="B17" s="4" t="s">
        <v>199</v>
      </c>
      <c r="C17" s="4" t="s">
        <v>180</v>
      </c>
      <c r="D17" s="14">
        <v>44958</v>
      </c>
      <c r="E17" s="14">
        <v>45047</v>
      </c>
      <c r="F17" s="4" t="s">
        <v>18</v>
      </c>
      <c r="G17" s="14">
        <v>45139</v>
      </c>
      <c r="H17" s="4" t="s">
        <v>123</v>
      </c>
      <c r="J17" s="17">
        <v>2</v>
      </c>
      <c r="K17" s="17">
        <v>2</v>
      </c>
      <c r="L17" s="17">
        <v>25</v>
      </c>
      <c r="M17" s="61" t="s">
        <v>144</v>
      </c>
      <c r="O17" s="62">
        <v>17734691</v>
      </c>
      <c r="P17" s="4">
        <v>8</v>
      </c>
      <c r="Q17" s="4" t="s">
        <v>115</v>
      </c>
      <c r="R17" s="14">
        <v>33200</v>
      </c>
      <c r="S17" s="63">
        <v>34.446575342465756</v>
      </c>
      <c r="T17" s="4" t="s">
        <v>152</v>
      </c>
      <c r="U17" s="4" t="s">
        <v>267</v>
      </c>
      <c r="V17" s="4">
        <v>937576900</v>
      </c>
      <c r="W17" s="4" t="s">
        <v>268</v>
      </c>
      <c r="X17" s="4" t="s">
        <v>163</v>
      </c>
      <c r="Y17" s="4" t="s">
        <v>140</v>
      </c>
      <c r="Z17" s="4" t="s">
        <v>153</v>
      </c>
      <c r="AA17" s="4" t="s">
        <v>232</v>
      </c>
      <c r="AB17" s="4" t="s">
        <v>143</v>
      </c>
      <c r="AC17" s="17">
        <v>93233060</v>
      </c>
      <c r="AD17" s="64">
        <v>650000</v>
      </c>
      <c r="AE17" s="64">
        <v>132000</v>
      </c>
      <c r="AF17" s="64">
        <v>40000</v>
      </c>
      <c r="AH17" s="64"/>
      <c r="AI17" s="64"/>
      <c r="AJ17" s="64"/>
    </row>
    <row r="18" spans="1:37" x14ac:dyDescent="0.3">
      <c r="A18" s="4" t="s">
        <v>195</v>
      </c>
      <c r="B18" s="4" t="s">
        <v>214</v>
      </c>
      <c r="C18" s="4" t="s">
        <v>194</v>
      </c>
      <c r="D18" s="14">
        <v>45028</v>
      </c>
      <c r="E18" s="14">
        <v>45119</v>
      </c>
      <c r="F18" s="4" t="s">
        <v>18</v>
      </c>
      <c r="G18" s="14">
        <v>45200</v>
      </c>
      <c r="J18" s="17">
        <v>2</v>
      </c>
      <c r="K18" s="17">
        <v>0</v>
      </c>
      <c r="L18" s="17">
        <v>14</v>
      </c>
      <c r="M18" s="61" t="s">
        <v>144</v>
      </c>
      <c r="O18" s="62">
        <v>25086154</v>
      </c>
      <c r="P18" s="4">
        <v>0</v>
      </c>
      <c r="Q18" s="4" t="s">
        <v>114</v>
      </c>
      <c r="R18" s="14">
        <v>26623</v>
      </c>
      <c r="S18" s="63">
        <v>52.465753424657535</v>
      </c>
      <c r="T18" s="4" t="s">
        <v>161</v>
      </c>
      <c r="U18" s="4" t="s">
        <v>269</v>
      </c>
      <c r="V18" s="4">
        <v>926387697</v>
      </c>
      <c r="W18" s="4" t="s">
        <v>270</v>
      </c>
      <c r="X18" s="4" t="s">
        <v>163</v>
      </c>
      <c r="Y18" s="4" t="s">
        <v>140</v>
      </c>
      <c r="Z18" s="4" t="s">
        <v>286</v>
      </c>
      <c r="AD18" s="64"/>
      <c r="AE18" s="64"/>
      <c r="AF18" s="64"/>
      <c r="AH18" s="64"/>
      <c r="AI18" s="64"/>
      <c r="AJ18" s="64"/>
    </row>
    <row r="19" spans="1:37" x14ac:dyDescent="0.3">
      <c r="A19" s="4" t="s">
        <v>175</v>
      </c>
      <c r="B19" s="4" t="s">
        <v>208</v>
      </c>
      <c r="C19" s="4" t="s">
        <v>176</v>
      </c>
      <c r="D19" s="14">
        <v>45031</v>
      </c>
      <c r="E19" s="14">
        <v>45122</v>
      </c>
      <c r="F19" s="4" t="s">
        <v>18</v>
      </c>
      <c r="G19" s="14">
        <v>45200</v>
      </c>
      <c r="J19" s="17">
        <v>2</v>
      </c>
      <c r="K19" s="17">
        <v>0</v>
      </c>
      <c r="L19" s="17">
        <v>11</v>
      </c>
      <c r="M19" s="61" t="s">
        <v>144</v>
      </c>
      <c r="O19" s="62">
        <v>16627499</v>
      </c>
      <c r="P19" s="4">
        <v>0</v>
      </c>
      <c r="Q19" s="4" t="s">
        <v>115</v>
      </c>
      <c r="R19" s="14">
        <v>32099</v>
      </c>
      <c r="S19" s="63">
        <v>37.463013698630135</v>
      </c>
      <c r="T19" s="4" t="s">
        <v>159</v>
      </c>
      <c r="U19" s="4" t="s">
        <v>271</v>
      </c>
      <c r="V19" s="4">
        <v>998964919</v>
      </c>
      <c r="W19" s="4" t="s">
        <v>272</v>
      </c>
      <c r="X19" s="4" t="s">
        <v>163</v>
      </c>
      <c r="Y19" s="4" t="s">
        <v>140</v>
      </c>
      <c r="Z19" s="4" t="s">
        <v>222</v>
      </c>
      <c r="AA19" s="4" t="s">
        <v>142</v>
      </c>
      <c r="AB19" s="4" t="s">
        <v>143</v>
      </c>
      <c r="AC19" s="17">
        <v>16627499</v>
      </c>
      <c r="AD19" s="64">
        <v>500000</v>
      </c>
      <c r="AE19" s="64">
        <v>0</v>
      </c>
      <c r="AF19" s="64">
        <v>45000</v>
      </c>
      <c r="AG19" s="14">
        <v>45139</v>
      </c>
      <c r="AH19" s="64">
        <v>500000</v>
      </c>
      <c r="AI19" s="64">
        <v>150000</v>
      </c>
      <c r="AJ19" s="64">
        <v>68000</v>
      </c>
    </row>
    <row r="20" spans="1:37" ht="18" customHeight="1" x14ac:dyDescent="0.3">
      <c r="A20" s="19" t="s">
        <v>1</v>
      </c>
      <c r="B20" s="19" t="s">
        <v>2</v>
      </c>
      <c r="C20" s="19" t="s">
        <v>0</v>
      </c>
      <c r="D20" s="20">
        <v>43722</v>
      </c>
      <c r="E20" s="20">
        <v>43722</v>
      </c>
      <c r="F20" s="19" t="s">
        <v>18</v>
      </c>
      <c r="G20" s="40">
        <v>43722</v>
      </c>
      <c r="H20" s="21" t="s">
        <v>123</v>
      </c>
      <c r="I20" s="21" t="s">
        <v>123</v>
      </c>
      <c r="J20" s="58">
        <f ca="1">DATEDIF(FARMACIA!$D18,$A$1,"Y")</f>
        <v>2</v>
      </c>
      <c r="K20" s="58">
        <f ca="1">DATEDIF(FARMACIA!$D18,$A$1,"Ym")</f>
        <v>9</v>
      </c>
      <c r="L20" s="58">
        <f ca="1">DATEDIF(FARMACIA!$D18,$A$1,"md")</f>
        <v>21</v>
      </c>
      <c r="M20" s="21" t="s">
        <v>123</v>
      </c>
      <c r="N20" s="19" t="s">
        <v>10</v>
      </c>
      <c r="O20" s="41">
        <v>33149369</v>
      </c>
      <c r="P20" s="24">
        <v>4</v>
      </c>
      <c r="Q20" s="19" t="s">
        <v>114</v>
      </c>
      <c r="R20" s="46">
        <v>28885</v>
      </c>
      <c r="S20" s="26">
        <f t="shared" ref="S20:S26" ca="1" si="3">($A$1-R20)/365</f>
        <v>47.624657534246573</v>
      </c>
      <c r="T20" s="43" t="s">
        <v>152</v>
      </c>
      <c r="U20" s="43" t="s">
        <v>4</v>
      </c>
      <c r="V20" s="27">
        <v>967515343</v>
      </c>
      <c r="W20" s="50" t="s">
        <v>243</v>
      </c>
      <c r="X20" s="43" t="s">
        <v>163</v>
      </c>
      <c r="Y20" s="43" t="s">
        <v>140</v>
      </c>
      <c r="Z20" s="43" t="s">
        <v>162</v>
      </c>
      <c r="AA20" s="43"/>
      <c r="AB20" s="43"/>
      <c r="AC20" s="53"/>
      <c r="AD20" s="33">
        <v>650000</v>
      </c>
      <c r="AE20" s="34">
        <v>120000</v>
      </c>
      <c r="AF20" s="34">
        <v>75000</v>
      </c>
      <c r="AH20" s="34"/>
      <c r="AI20" s="34"/>
      <c r="AJ20" s="34"/>
    </row>
    <row r="21" spans="1:37" ht="18" customHeight="1" x14ac:dyDescent="0.3">
      <c r="A21" s="19" t="s">
        <v>26</v>
      </c>
      <c r="B21" s="19" t="s">
        <v>27</v>
      </c>
      <c r="C21" s="19" t="s">
        <v>25</v>
      </c>
      <c r="D21" s="20">
        <v>43899</v>
      </c>
      <c r="E21" s="20">
        <v>43991</v>
      </c>
      <c r="F21" s="19" t="s">
        <v>29</v>
      </c>
      <c r="G21" s="40">
        <v>44013</v>
      </c>
      <c r="H21" s="21" t="s">
        <v>123</v>
      </c>
      <c r="I21" s="21" t="s">
        <v>123</v>
      </c>
      <c r="J21" s="58">
        <f ca="1">DATEDIF(FARMACIA!$D19,$A$1,"Y")</f>
        <v>1</v>
      </c>
      <c r="K21" s="58">
        <f ca="1">DATEDIF(FARMACIA!$D19,$A$1,"Ym")</f>
        <v>10</v>
      </c>
      <c r="L21" s="58">
        <f ca="1">DATEDIF(FARMACIA!$D19,$A$1,"md")</f>
        <v>20</v>
      </c>
      <c r="M21" s="21"/>
      <c r="N21" s="19" t="s">
        <v>10</v>
      </c>
      <c r="O21" s="41">
        <v>16705655</v>
      </c>
      <c r="P21" s="24">
        <v>5</v>
      </c>
      <c r="Q21" s="19" t="s">
        <v>115</v>
      </c>
      <c r="R21" s="46">
        <v>32181</v>
      </c>
      <c r="S21" s="26">
        <f t="shared" ca="1" si="3"/>
        <v>38.594520547945208</v>
      </c>
      <c r="T21" s="30" t="s">
        <v>159</v>
      </c>
      <c r="U21" s="43" t="s">
        <v>28</v>
      </c>
      <c r="V21" s="27">
        <v>954774405</v>
      </c>
      <c r="W21" s="50" t="s">
        <v>242</v>
      </c>
      <c r="X21" s="43" t="s">
        <v>145</v>
      </c>
      <c r="Y21" s="43" t="s">
        <v>240</v>
      </c>
      <c r="Z21" s="43" t="s">
        <v>153</v>
      </c>
      <c r="AA21" s="43" t="s">
        <v>151</v>
      </c>
      <c r="AB21" s="55"/>
      <c r="AC21" s="53"/>
      <c r="AD21" s="34">
        <v>1125000</v>
      </c>
      <c r="AE21" s="34">
        <v>129000</v>
      </c>
      <c r="AF21" s="34">
        <v>150000</v>
      </c>
      <c r="AG21" s="14">
        <v>44440</v>
      </c>
      <c r="AH21" s="34">
        <v>1370000</v>
      </c>
      <c r="AI21" s="34">
        <v>130000</v>
      </c>
      <c r="AJ21" s="34">
        <v>150000</v>
      </c>
    </row>
    <row r="22" spans="1:37" ht="18" customHeight="1" x14ac:dyDescent="0.3">
      <c r="A22" t="s">
        <v>102</v>
      </c>
      <c r="B22" t="s">
        <v>103</v>
      </c>
      <c r="C22" t="s">
        <v>101</v>
      </c>
      <c r="D22" s="47">
        <v>44075</v>
      </c>
      <c r="E22" s="47">
        <v>44166</v>
      </c>
      <c r="F22" t="s">
        <v>18</v>
      </c>
      <c r="G22" s="48">
        <v>44228</v>
      </c>
      <c r="H22" s="49" t="s">
        <v>123</v>
      </c>
      <c r="I22" s="49" t="s">
        <v>123</v>
      </c>
      <c r="J22" s="58">
        <f ca="1">DATEDIF(FARMACIA!$D20,$A$1,"Y")</f>
        <v>1</v>
      </c>
      <c r="K22" s="58">
        <f ca="1">DATEDIF(FARMACIA!$D20,$A$1,"Ym")</f>
        <v>10</v>
      </c>
      <c r="L22" s="58">
        <f ca="1">DATEDIF(FARMACIA!$D20,$A$1,"md")</f>
        <v>20</v>
      </c>
      <c r="M22" s="49"/>
      <c r="N22" t="s">
        <v>10</v>
      </c>
      <c r="O22" s="39">
        <v>16435655</v>
      </c>
      <c r="P22" s="24">
        <v>8</v>
      </c>
      <c r="Q22" s="19" t="s">
        <v>115</v>
      </c>
      <c r="R22" s="25" t="s">
        <v>228</v>
      </c>
      <c r="S22" s="26">
        <f t="shared" ca="1" si="3"/>
        <v>41.468493150684928</v>
      </c>
      <c r="T22" s="30" t="s">
        <v>159</v>
      </c>
      <c r="U22" s="43" t="s">
        <v>104</v>
      </c>
      <c r="V22" s="27">
        <v>952183051</v>
      </c>
      <c r="W22" s="50" t="s">
        <v>249</v>
      </c>
      <c r="X22" s="42" t="s">
        <v>163</v>
      </c>
      <c r="Y22" s="42" t="s">
        <v>250</v>
      </c>
      <c r="Z22" s="42" t="s">
        <v>222</v>
      </c>
      <c r="AA22" s="42" t="s">
        <v>155</v>
      </c>
      <c r="AB22" s="42" t="s">
        <v>148</v>
      </c>
      <c r="AC22" s="53" t="s">
        <v>251</v>
      </c>
      <c r="AD22" s="34">
        <v>600000</v>
      </c>
      <c r="AE22" s="34">
        <v>100000</v>
      </c>
      <c r="AF22" s="34"/>
      <c r="AH22" s="34"/>
      <c r="AI22" s="34"/>
      <c r="AJ22" s="34"/>
    </row>
    <row r="23" spans="1:37" ht="18" customHeight="1" x14ac:dyDescent="0.3">
      <c r="A23" s="4" t="s">
        <v>188</v>
      </c>
      <c r="B23" s="4" t="s">
        <v>215</v>
      </c>
      <c r="C23" s="4" t="s">
        <v>189</v>
      </c>
      <c r="D23" s="44">
        <v>44896</v>
      </c>
      <c r="E23" s="44">
        <v>44986</v>
      </c>
      <c r="F23" t="s">
        <v>18</v>
      </c>
      <c r="G23" s="45">
        <v>45078</v>
      </c>
      <c r="H23" s="5" t="s">
        <v>123</v>
      </c>
      <c r="I23" s="5" t="s">
        <v>123</v>
      </c>
      <c r="J23" s="58">
        <f ca="1">DATEDIF(FARMACIA!$D21,$A$1,"Y")</f>
        <v>1</v>
      </c>
      <c r="K23" s="58">
        <f ca="1">DATEDIF(FARMACIA!$D21,$A$1,"Ym")</f>
        <v>10</v>
      </c>
      <c r="L23" s="58">
        <f ca="1">DATEDIF(FARMACIA!$D21,$A$1,"md")</f>
        <v>2</v>
      </c>
      <c r="M23" s="21" t="s">
        <v>144</v>
      </c>
      <c r="N23" s="4" t="s">
        <v>224</v>
      </c>
      <c r="O23" s="32">
        <v>18791101</v>
      </c>
      <c r="P23" s="5" t="s">
        <v>61</v>
      </c>
      <c r="Q23" t="s">
        <v>115</v>
      </c>
      <c r="R23" s="44">
        <v>34484</v>
      </c>
      <c r="S23" s="26">
        <f t="shared" ca="1" si="3"/>
        <v>32.284931506849318</v>
      </c>
      <c r="T23" s="30" t="s">
        <v>159</v>
      </c>
      <c r="U23" s="35" t="s">
        <v>275</v>
      </c>
      <c r="V23" s="5">
        <v>964646352</v>
      </c>
      <c r="W23" s="31" t="s">
        <v>276</v>
      </c>
      <c r="X23" s="35" t="s">
        <v>163</v>
      </c>
      <c r="Y23" s="35" t="s">
        <v>140</v>
      </c>
      <c r="Z23" s="35" t="s">
        <v>153</v>
      </c>
      <c r="AA23" s="35" t="s">
        <v>232</v>
      </c>
      <c r="AB23" s="35" t="s">
        <v>143</v>
      </c>
      <c r="AC23" s="36">
        <v>69768544</v>
      </c>
      <c r="AD23" s="33">
        <v>420000</v>
      </c>
      <c r="AE23" s="34">
        <v>120000</v>
      </c>
      <c r="AF23" s="34">
        <v>75000</v>
      </c>
      <c r="AG23" s="14">
        <v>44986</v>
      </c>
      <c r="AH23" s="34">
        <v>500000</v>
      </c>
      <c r="AI23" s="34">
        <v>138000</v>
      </c>
      <c r="AJ23" s="34">
        <v>75000</v>
      </c>
    </row>
    <row r="24" spans="1:37" ht="18" customHeight="1" x14ac:dyDescent="0.3">
      <c r="A24" t="s">
        <v>179</v>
      </c>
      <c r="B24" t="s">
        <v>199</v>
      </c>
      <c r="C24" t="s">
        <v>180</v>
      </c>
      <c r="D24" s="56">
        <v>44958</v>
      </c>
      <c r="E24" s="37">
        <v>45047</v>
      </c>
      <c r="F24" t="s">
        <v>18</v>
      </c>
      <c r="G24" s="38">
        <v>45139</v>
      </c>
      <c r="H24" s="18" t="s">
        <v>123</v>
      </c>
      <c r="I24" s="18"/>
      <c r="J24" s="58">
        <f ca="1">DATEDIF(FARMACIA!$D22,$A$1,"Y")</f>
        <v>1</v>
      </c>
      <c r="K24" s="58">
        <f ca="1">DATEDIF(FARMACIA!$D22,$A$1,"Ym")</f>
        <v>9</v>
      </c>
      <c r="L24" s="58">
        <f ca="1">DATEDIF(FARMACIA!$D22,$A$1,"md")</f>
        <v>30</v>
      </c>
      <c r="M24" s="21" t="s">
        <v>144</v>
      </c>
      <c r="N24"/>
      <c r="O24" s="39">
        <v>17734691</v>
      </c>
      <c r="P24" s="18">
        <v>8</v>
      </c>
      <c r="Q24" s="19" t="s">
        <v>115</v>
      </c>
      <c r="R24" s="37">
        <v>33200</v>
      </c>
      <c r="S24" s="26">
        <f t="shared" ca="1" si="3"/>
        <v>35.802739726027397</v>
      </c>
      <c r="T24" s="30" t="s">
        <v>152</v>
      </c>
      <c r="U24" s="30" t="s">
        <v>267</v>
      </c>
      <c r="V24" s="18">
        <v>937576900</v>
      </c>
      <c r="W24" s="31" t="s">
        <v>268</v>
      </c>
      <c r="X24" s="30" t="s">
        <v>163</v>
      </c>
      <c r="Y24" s="30" t="s">
        <v>140</v>
      </c>
      <c r="Z24" s="30" t="s">
        <v>153</v>
      </c>
      <c r="AA24" s="30" t="s">
        <v>232</v>
      </c>
      <c r="AB24" s="30" t="s">
        <v>143</v>
      </c>
      <c r="AC24" s="52">
        <v>93233060</v>
      </c>
      <c r="AD24" s="34">
        <v>650000</v>
      </c>
      <c r="AE24" s="34">
        <v>132000</v>
      </c>
      <c r="AF24" s="34">
        <v>40000</v>
      </c>
      <c r="AH24" s="34"/>
      <c r="AI24" s="34"/>
      <c r="AJ24" s="34"/>
    </row>
    <row r="25" spans="1:37" ht="18" customHeight="1" x14ac:dyDescent="0.3">
      <c r="A25" s="4" t="s">
        <v>195</v>
      </c>
      <c r="B25" s="4" t="s">
        <v>214</v>
      </c>
      <c r="C25" s="4" t="s">
        <v>194</v>
      </c>
      <c r="D25" s="57">
        <v>45028</v>
      </c>
      <c r="E25" s="44">
        <v>45119</v>
      </c>
      <c r="F25" s="4" t="s">
        <v>18</v>
      </c>
      <c r="G25" s="45">
        <v>45200</v>
      </c>
      <c r="H25" s="5"/>
      <c r="I25" s="5"/>
      <c r="J25" s="58">
        <f ca="1">DATEDIF(FARMACIA!$D23,$A$1,"Y")</f>
        <v>1</v>
      </c>
      <c r="K25" s="58">
        <f ca="1">DATEDIF(FARMACIA!$D23,$A$1,"Ym")</f>
        <v>9</v>
      </c>
      <c r="L25" s="58">
        <f ca="1">DATEDIF(FARMACIA!$D23,$A$1,"md")</f>
        <v>27</v>
      </c>
      <c r="M25" s="21" t="s">
        <v>144</v>
      </c>
      <c r="O25" s="32">
        <v>25086154</v>
      </c>
      <c r="P25" s="5">
        <v>0</v>
      </c>
      <c r="Q25" s="4" t="s">
        <v>114</v>
      </c>
      <c r="R25" s="44">
        <v>26623</v>
      </c>
      <c r="S25" s="26">
        <f t="shared" ca="1" si="3"/>
        <v>53.821917808219176</v>
      </c>
      <c r="T25" s="35" t="s">
        <v>161</v>
      </c>
      <c r="U25" s="35" t="s">
        <v>269</v>
      </c>
      <c r="V25" s="5">
        <v>926387697</v>
      </c>
      <c r="W25" s="31" t="s">
        <v>270</v>
      </c>
      <c r="X25" s="35" t="s">
        <v>163</v>
      </c>
      <c r="Y25" s="35" t="s">
        <v>140</v>
      </c>
      <c r="Z25" s="35" t="s">
        <v>286</v>
      </c>
      <c r="AA25" s="54"/>
      <c r="AB25" s="35"/>
      <c r="AC25" s="36"/>
      <c r="AD25" s="34"/>
      <c r="AE25" s="34"/>
      <c r="AF25" s="34"/>
      <c r="AH25" s="34"/>
      <c r="AI25" s="34"/>
      <c r="AJ25" s="34"/>
    </row>
    <row r="26" spans="1:37" ht="18" customHeight="1" x14ac:dyDescent="0.3">
      <c r="A26" t="s">
        <v>175</v>
      </c>
      <c r="B26" t="s">
        <v>208</v>
      </c>
      <c r="C26" t="s">
        <v>176</v>
      </c>
      <c r="D26" s="56">
        <v>45031</v>
      </c>
      <c r="E26" s="37">
        <v>45122</v>
      </c>
      <c r="F26" t="s">
        <v>18</v>
      </c>
      <c r="G26" s="38">
        <v>45200</v>
      </c>
      <c r="H26" s="18"/>
      <c r="I26" s="18"/>
      <c r="J26" s="58" t="e">
        <f ca="1">DATEDIF(FARMACIA!#REF!,$A$1,"Y")</f>
        <v>#REF!</v>
      </c>
      <c r="K26" s="58" t="e">
        <f ca="1">DATEDIF(FARMACIA!#REF!,$A$1,"Ym")</f>
        <v>#REF!</v>
      </c>
      <c r="L26" s="58" t="e">
        <f ca="1">DATEDIF(FARMACIA!#REF!,$A$1,"md")</f>
        <v>#REF!</v>
      </c>
      <c r="M26" s="21" t="s">
        <v>144</v>
      </c>
      <c r="N26"/>
      <c r="O26" s="39">
        <v>16627499</v>
      </c>
      <c r="P26" s="18">
        <v>0</v>
      </c>
      <c r="Q26" t="s">
        <v>115</v>
      </c>
      <c r="R26" s="37">
        <v>32099</v>
      </c>
      <c r="S26" s="26">
        <f t="shared" ca="1" si="3"/>
        <v>38.819178082191783</v>
      </c>
      <c r="T26" s="30" t="s">
        <v>159</v>
      </c>
      <c r="U26" s="30" t="s">
        <v>271</v>
      </c>
      <c r="V26" s="18">
        <v>998964919</v>
      </c>
      <c r="W26" s="31" t="s">
        <v>272</v>
      </c>
      <c r="X26" s="30" t="s">
        <v>163</v>
      </c>
      <c r="Y26" s="30" t="s">
        <v>140</v>
      </c>
      <c r="Z26" s="30" t="s">
        <v>222</v>
      </c>
      <c r="AA26" s="30" t="s">
        <v>142</v>
      </c>
      <c r="AB26" s="30" t="s">
        <v>143</v>
      </c>
      <c r="AC26" s="52">
        <v>16627499</v>
      </c>
      <c r="AD26" s="34">
        <v>500000</v>
      </c>
      <c r="AE26" s="34">
        <v>0</v>
      </c>
      <c r="AF26" s="34">
        <v>45000</v>
      </c>
      <c r="AG26" s="14">
        <v>45139</v>
      </c>
      <c r="AH26" s="34">
        <v>500000</v>
      </c>
      <c r="AI26" s="34">
        <v>150000</v>
      </c>
      <c r="AJ26" s="34">
        <v>68000</v>
      </c>
    </row>
    <row r="27" spans="1:37" ht="18" customHeight="1" x14ac:dyDescent="0.3">
      <c r="A27" s="4" t="s">
        <v>106</v>
      </c>
      <c r="B27" s="4" t="s">
        <v>66</v>
      </c>
      <c r="C27" s="4" t="s">
        <v>294</v>
      </c>
      <c r="D27" s="5"/>
      <c r="E27" s="5"/>
      <c r="G27" s="36"/>
      <c r="H27" s="5"/>
      <c r="I27" s="5"/>
      <c r="J27" s="17" t="e">
        <f ca="1">DATEDIF(FARMACIA!#REF!,$A$1,"Y")</f>
        <v>#REF!</v>
      </c>
      <c r="K27" s="59" t="e">
        <f ca="1">DATEDIF(FARMACIA!#REF!,$A$1,"Ym")</f>
        <v>#REF!</v>
      </c>
      <c r="L27" s="59" t="e">
        <f ca="1">DATEDIF(FARMACIA!#REF!,$A$1,"md")</f>
        <v>#REF!</v>
      </c>
      <c r="O27" s="32"/>
      <c r="P27" s="5"/>
      <c r="R27" s="5"/>
      <c r="T27" s="35"/>
      <c r="U27" s="35"/>
      <c r="V27" s="5"/>
      <c r="X27" s="35"/>
      <c r="Y27" s="35"/>
      <c r="Z27" s="35"/>
      <c r="AA27" s="35"/>
      <c r="AB27" s="35"/>
      <c r="AC27" s="36"/>
      <c r="AD27" s="34"/>
      <c r="AE27" s="34"/>
      <c r="AF27" s="34"/>
      <c r="AH27" s="34"/>
      <c r="AI27" s="34"/>
      <c r="AJ27" s="34"/>
    </row>
    <row r="28" spans="1:37" x14ac:dyDescent="0.3">
      <c r="A28" s="4" t="s">
        <v>312</v>
      </c>
      <c r="B28" s="4" t="s">
        <v>167</v>
      </c>
      <c r="C28" s="4" t="s">
        <v>311</v>
      </c>
      <c r="D28" s="14">
        <v>45748</v>
      </c>
    </row>
    <row r="29" spans="1:37" s="66" customFormat="1" ht="18" customHeight="1" x14ac:dyDescent="0.3">
      <c r="A29" s="79" t="s">
        <v>167</v>
      </c>
      <c r="B29" s="79" t="s">
        <v>207</v>
      </c>
      <c r="C29" s="79" t="s">
        <v>168</v>
      </c>
      <c r="D29" s="99">
        <v>45017</v>
      </c>
      <c r="E29" s="111" t="str">
        <f t="shared" ref="E29:E33" ca="1" si="4">DATEDIF(D29,TODAY(),"Y")&amp;" años, "&amp;DATEDIF(D29,TODAY(),"YM")&amp;" meses y "&amp;DATEDIF(D29,TODAY(),"MD")&amp;" días."</f>
        <v>3 años, 5 meses y 2 días.</v>
      </c>
      <c r="F29" s="99">
        <v>45108</v>
      </c>
      <c r="G29" s="79" t="s">
        <v>29</v>
      </c>
      <c r="H29" s="100">
        <v>45200</v>
      </c>
      <c r="I29" s="101" t="s">
        <v>123</v>
      </c>
      <c r="J29" s="101"/>
      <c r="K29" s="76" t="e">
        <f ca="1">DATEDIF(FARMACIA!#REF!,$A$1,"Y")</f>
        <v>#REF!</v>
      </c>
      <c r="L29" s="76" t="e">
        <f ca="1">DATEDIF(FARMACIA!#REF!,$A$1,"Ym")</f>
        <v>#REF!</v>
      </c>
      <c r="M29" s="76" t="e">
        <f ca="1">DATEDIF(FARMACIA!#REF!,$A$1,"md")</f>
        <v>#REF!</v>
      </c>
      <c r="N29" s="75" t="s">
        <v>144</v>
      </c>
      <c r="O29" s="88" t="s">
        <v>224</v>
      </c>
      <c r="P29" s="102">
        <v>19691648</v>
      </c>
      <c r="Q29" s="101">
        <v>2</v>
      </c>
      <c r="R29" s="79" t="s">
        <v>115</v>
      </c>
      <c r="S29" s="99">
        <v>35644</v>
      </c>
      <c r="T29" s="81">
        <f t="shared" ref="T29" ca="1" si="5">($A$1-S29)/365</f>
        <v>29.106849315068494</v>
      </c>
      <c r="U29" s="90" t="s">
        <v>159</v>
      </c>
      <c r="V29" s="90" t="s">
        <v>273</v>
      </c>
      <c r="W29" s="105">
        <v>991486650</v>
      </c>
      <c r="X29" s="114" t="s">
        <v>274</v>
      </c>
      <c r="Y29" s="90" t="s">
        <v>145</v>
      </c>
      <c r="Z29" s="90" t="s">
        <v>140</v>
      </c>
      <c r="AA29" s="90" t="s">
        <v>162</v>
      </c>
      <c r="AB29" s="90" t="s">
        <v>155</v>
      </c>
      <c r="AC29" s="90" t="s">
        <v>148</v>
      </c>
      <c r="AD29" s="103">
        <v>15841157390</v>
      </c>
      <c r="AE29" s="87">
        <v>1400000</v>
      </c>
      <c r="AF29" s="87">
        <v>340000</v>
      </c>
      <c r="AG29" s="87">
        <v>130000</v>
      </c>
      <c r="AH29" s="88"/>
      <c r="AI29" s="87"/>
      <c r="AJ29" s="87"/>
      <c r="AK29" s="87"/>
    </row>
    <row r="30" spans="1:37" s="66" customFormat="1" ht="18" customHeight="1" x14ac:dyDescent="0.3">
      <c r="A30" s="88" t="s">
        <v>306</v>
      </c>
      <c r="B30" s="88" t="s">
        <v>316</v>
      </c>
      <c r="C30" s="88" t="s">
        <v>305</v>
      </c>
      <c r="D30" s="93">
        <v>45726</v>
      </c>
      <c r="E30" s="111" t="str">
        <f t="shared" ca="1" si="4"/>
        <v>1 años, 5 meses y 24 días.</v>
      </c>
      <c r="F30" s="95"/>
      <c r="G30" s="88" t="s">
        <v>29</v>
      </c>
      <c r="H30" s="98"/>
      <c r="I30" s="95"/>
      <c r="J30" s="95"/>
      <c r="K30" s="106">
        <f ca="1">DATEDIF(FARMACIA!$D31,$A$1,"Y")</f>
        <v>126</v>
      </c>
      <c r="L30" s="107">
        <f ca="1">DATEDIF(FARMACIA!$D31,$A$1,"Ym")</f>
        <v>8</v>
      </c>
      <c r="M30" s="107">
        <f ca="1">DATEDIF(FARMACIA!$D31,$A$1,"md")</f>
        <v>3</v>
      </c>
      <c r="N30" s="75" t="s">
        <v>144</v>
      </c>
      <c r="O30" s="88"/>
      <c r="P30" s="96"/>
      <c r="Q30" s="95"/>
      <c r="R30" s="88"/>
      <c r="S30" s="95"/>
      <c r="T30" s="88"/>
      <c r="U30" s="97"/>
      <c r="V30" s="97"/>
      <c r="W30" s="95"/>
      <c r="X30" s="95"/>
      <c r="Y30" s="97"/>
      <c r="Z30" s="97"/>
      <c r="AA30" s="97"/>
      <c r="AB30" s="97"/>
      <c r="AC30" s="97"/>
      <c r="AD30" s="98"/>
      <c r="AE30" s="87"/>
      <c r="AF30" s="87"/>
      <c r="AG30" s="87"/>
      <c r="AH30" s="88"/>
      <c r="AI30" s="87"/>
      <c r="AJ30" s="87"/>
      <c r="AK30" s="87"/>
    </row>
    <row r="31" spans="1:37" s="66" customFormat="1" ht="18" customHeight="1" x14ac:dyDescent="0.3">
      <c r="A31" s="88" t="s">
        <v>314</v>
      </c>
      <c r="B31" s="88" t="s">
        <v>315</v>
      </c>
      <c r="C31" s="88" t="s">
        <v>313</v>
      </c>
      <c r="D31" s="93">
        <v>45748</v>
      </c>
      <c r="E31" s="111" t="str">
        <f t="shared" ca="1" si="4"/>
        <v>1 años, 5 meses y 2 días.</v>
      </c>
      <c r="F31" s="95"/>
      <c r="G31" s="88" t="s">
        <v>324</v>
      </c>
      <c r="H31" s="98"/>
      <c r="I31" s="95"/>
      <c r="J31" s="95"/>
      <c r="K31" s="106" t="e">
        <f ca="1">DATEDIF(FARMACIA!#REF!,$A$1,"Y")</f>
        <v>#REF!</v>
      </c>
      <c r="L31" s="107" t="e">
        <f ca="1">DATEDIF(FARMACIA!#REF!,$A$1,"Ym")</f>
        <v>#REF!</v>
      </c>
      <c r="M31" s="107" t="e">
        <f ca="1">DATEDIF(FARMACIA!#REF!,$A$1,"md")</f>
        <v>#REF!</v>
      </c>
      <c r="N31" s="75" t="s">
        <v>144</v>
      </c>
      <c r="O31" s="88"/>
      <c r="P31" s="96"/>
      <c r="Q31" s="95"/>
      <c r="R31" s="88"/>
      <c r="S31" s="95"/>
      <c r="T31" s="88"/>
      <c r="U31" s="97"/>
      <c r="V31" s="97"/>
      <c r="W31" s="95"/>
      <c r="X31" s="95"/>
      <c r="Y31" s="97"/>
      <c r="Z31" s="97"/>
      <c r="AA31" s="97"/>
      <c r="AB31" s="97"/>
      <c r="AC31" s="97"/>
      <c r="AD31" s="98"/>
      <c r="AE31" s="87"/>
      <c r="AF31" s="87"/>
      <c r="AG31" s="87"/>
      <c r="AH31" s="88"/>
      <c r="AI31" s="87"/>
      <c r="AJ31" s="87"/>
      <c r="AK31" s="87"/>
    </row>
    <row r="32" spans="1:37" s="66" customFormat="1" ht="18" customHeight="1" x14ac:dyDescent="0.3">
      <c r="A32" s="88" t="s">
        <v>317</v>
      </c>
      <c r="B32" s="88" t="s">
        <v>318</v>
      </c>
      <c r="C32" s="88" t="s">
        <v>287</v>
      </c>
      <c r="D32" s="93">
        <v>45839</v>
      </c>
      <c r="E32" s="111" t="str">
        <f t="shared" ca="1" si="4"/>
        <v>1 años, 2 meses y 2 días.</v>
      </c>
      <c r="F32" s="93">
        <v>45931</v>
      </c>
      <c r="G32" s="88" t="s">
        <v>24</v>
      </c>
      <c r="H32" s="98"/>
      <c r="I32" s="95"/>
      <c r="J32" s="95"/>
      <c r="K32" s="107">
        <f ca="1">DATEDIF(FARMACIA!$D33,$A$1,"Y")</f>
        <v>126</v>
      </c>
      <c r="L32" s="107">
        <f ca="1">DATEDIF(FARMACIA!$D33,$A$1,"Ym")</f>
        <v>8</v>
      </c>
      <c r="M32" s="107">
        <f ca="1">DATEDIF(FARMACIA!$D33,$A$1,"md")</f>
        <v>3</v>
      </c>
      <c r="N32" s="75" t="s">
        <v>144</v>
      </c>
      <c r="O32" s="88"/>
      <c r="P32" s="96"/>
      <c r="Q32" s="95"/>
      <c r="R32" s="88"/>
      <c r="S32" s="93"/>
      <c r="T32" s="112"/>
      <c r="U32" s="97"/>
      <c r="V32" s="97"/>
      <c r="W32" s="95"/>
      <c r="X32" s="95"/>
      <c r="Y32" s="97"/>
      <c r="Z32" s="97"/>
      <c r="AA32" s="97"/>
      <c r="AB32" s="97"/>
      <c r="AC32" s="97"/>
      <c r="AD32" s="98"/>
      <c r="AE32" s="87"/>
      <c r="AF32" s="87"/>
      <c r="AG32" s="87"/>
      <c r="AH32" s="88"/>
      <c r="AI32" s="87"/>
      <c r="AJ32" s="87"/>
      <c r="AK32" s="87"/>
    </row>
    <row r="33" spans="1:37" s="66" customFormat="1" ht="18" customHeight="1" x14ac:dyDescent="0.3">
      <c r="A33" s="88" t="s">
        <v>319</v>
      </c>
      <c r="B33" s="88" t="s">
        <v>320</v>
      </c>
      <c r="C33" s="88" t="s">
        <v>321</v>
      </c>
      <c r="D33" s="93">
        <v>45887</v>
      </c>
      <c r="E33" s="111" t="str">
        <f t="shared" ca="1" si="4"/>
        <v>1 años, 0 meses y 16 días.</v>
      </c>
      <c r="F33" s="93">
        <v>45979</v>
      </c>
      <c r="G33" s="88" t="s">
        <v>29</v>
      </c>
      <c r="H33" s="98"/>
      <c r="I33" s="95"/>
      <c r="J33" s="95"/>
      <c r="K33" s="107">
        <f ca="1">DATEDIF(FARMACIA!$D35,$A$1,"Y")</f>
        <v>126</v>
      </c>
      <c r="L33" s="107">
        <f ca="1">DATEDIF(FARMACIA!$D35,$A$1,"Ym")</f>
        <v>8</v>
      </c>
      <c r="M33" s="107">
        <f ca="1">DATEDIF(FARMACIA!$D35,$A$1,"md")</f>
        <v>3</v>
      </c>
      <c r="N33" s="75" t="s">
        <v>144</v>
      </c>
      <c r="O33" s="88"/>
      <c r="P33" s="96"/>
      <c r="Q33" s="95"/>
      <c r="R33" s="88"/>
      <c r="S33" s="93"/>
      <c r="T33" s="112"/>
      <c r="U33" s="97"/>
      <c r="V33" s="97"/>
      <c r="W33" s="95"/>
      <c r="X33" s="95"/>
      <c r="Y33" s="97"/>
      <c r="Z33" s="97"/>
      <c r="AA33" s="97"/>
      <c r="AB33" s="97"/>
      <c r="AC33" s="97"/>
      <c r="AD33" s="98"/>
      <c r="AE33" s="87"/>
      <c r="AF33" s="87"/>
      <c r="AG33" s="87"/>
      <c r="AH33" s="88"/>
      <c r="AI33" s="87"/>
      <c r="AJ33" s="87"/>
      <c r="AK33" s="87"/>
    </row>
    <row r="34" spans="1:37" x14ac:dyDescent="0.3">
      <c r="A34" s="4" t="s">
        <v>342</v>
      </c>
    </row>
  </sheetData>
  <mergeCells count="1">
    <mergeCell ref="G1:H1"/>
  </mergeCells>
  <conditionalFormatting sqref="AA12">
    <cfRule type="expression" dxfId="1" priority="1">
      <formula>IF(OR(AA12="M",AA12="m",AA12="F",AA12="f"),FALSE,TRUE)</formula>
    </cfRule>
  </conditionalFormatting>
  <hyperlinks>
    <hyperlink ref="W21" r:id="rId1" xr:uid="{6D068FE8-A4A5-454B-AD21-EA52FF41FACD}"/>
    <hyperlink ref="W20" r:id="rId2" xr:uid="{A1C5C4FF-C061-46C0-B742-54A80366CFA5}"/>
    <hyperlink ref="W22" r:id="rId3" xr:uid="{8123C3EF-B396-47AB-B1E1-CE726B9A148E}"/>
    <hyperlink ref="W23" r:id="rId4" xr:uid="{EA785E1D-9328-43EF-A121-1645ABF6279B}"/>
    <hyperlink ref="W24" r:id="rId5" xr:uid="{29541BBD-A2D9-4704-B423-429785E474FF}"/>
    <hyperlink ref="W25" r:id="rId6" xr:uid="{351E0A8A-5A54-4306-943F-E2B4C03A6F4A}"/>
    <hyperlink ref="W26" r:id="rId7" xr:uid="{7F035D1E-E460-4EE4-B5BC-097A5028DAD1}"/>
    <hyperlink ref="X29" r:id="rId8" xr:uid="{99DFCEBA-FA0C-4995-BB1C-4E76736B4371}"/>
  </hyperlinks>
  <pageMargins left="0.7" right="0.7" top="0.75" bottom="0.75" header="0.3" footer="0.3"/>
  <tableParts count="1"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758AD-F109-4452-81F5-3ADD14A44EDA}">
  <dimension ref="A2:M7"/>
  <sheetViews>
    <sheetView workbookViewId="0">
      <selection activeCell="K12" sqref="K12"/>
    </sheetView>
  </sheetViews>
  <sheetFormatPr baseColWidth="10" defaultColWidth="11.44140625" defaultRowHeight="14.4" x14ac:dyDescent="0.3"/>
  <cols>
    <col min="1" max="1" width="11.44140625" style="4"/>
    <col min="2" max="2" width="12.33203125" style="4" customWidth="1"/>
    <col min="3" max="3" width="16.33203125" style="4" customWidth="1"/>
    <col min="4" max="4" width="20" style="4" customWidth="1"/>
    <col min="5" max="5" width="23.44140625" style="4" customWidth="1"/>
    <col min="6" max="6" width="16.33203125" style="4" customWidth="1"/>
    <col min="7" max="7" width="15.33203125" style="4" customWidth="1"/>
    <col min="8" max="8" width="7.44140625" style="4" customWidth="1"/>
    <col min="9" max="9" width="14.6640625" style="4" customWidth="1"/>
    <col min="10" max="10" width="19" style="4" customWidth="1"/>
    <col min="11" max="11" width="43" style="4" customWidth="1"/>
    <col min="12" max="12" width="11.44140625" style="4"/>
    <col min="13" max="13" width="23.33203125" style="4" customWidth="1"/>
    <col min="14" max="16384" width="11.44140625" style="4"/>
  </cols>
  <sheetData>
    <row r="2" spans="1:13" s="5" customFormat="1" x14ac:dyDescent="0.3">
      <c r="A2" s="5" t="s">
        <v>121</v>
      </c>
      <c r="B2" s="5" t="s">
        <v>107</v>
      </c>
      <c r="C2" s="5" t="s">
        <v>108</v>
      </c>
      <c r="D2" s="5" t="s">
        <v>109</v>
      </c>
      <c r="E2" s="5" t="s">
        <v>122</v>
      </c>
      <c r="F2" s="5" t="s">
        <v>110</v>
      </c>
      <c r="G2" s="5" t="s">
        <v>111</v>
      </c>
      <c r="H2" s="5" t="s">
        <v>112</v>
      </c>
      <c r="I2" s="5" t="s">
        <v>113</v>
      </c>
      <c r="J2" s="5" t="s">
        <v>117</v>
      </c>
      <c r="K2" s="5" t="s">
        <v>118</v>
      </c>
      <c r="L2" s="5" t="s">
        <v>119</v>
      </c>
      <c r="M2" s="5" t="s">
        <v>120</v>
      </c>
    </row>
    <row r="3" spans="1:13" x14ac:dyDescent="0.3">
      <c r="B3" s="1" t="s">
        <v>44</v>
      </c>
      <c r="C3" s="1" t="s">
        <v>45</v>
      </c>
      <c r="D3" s="1" t="s">
        <v>43</v>
      </c>
      <c r="E3" s="15">
        <v>44197</v>
      </c>
      <c r="F3" s="1" t="s">
        <v>10</v>
      </c>
      <c r="G3" s="2">
        <v>27334343</v>
      </c>
      <c r="H3" s="3">
        <v>1</v>
      </c>
      <c r="I3" s="1" t="s">
        <v>116</v>
      </c>
      <c r="J3" s="16">
        <v>31075</v>
      </c>
      <c r="K3" s="1" t="s">
        <v>46</v>
      </c>
      <c r="L3" s="3" t="s">
        <v>17</v>
      </c>
      <c r="M3" s="4" t="s">
        <v>47</v>
      </c>
    </row>
    <row r="4" spans="1:13" x14ac:dyDescent="0.3">
      <c r="B4" s="1" t="s">
        <v>156</v>
      </c>
      <c r="C4" s="1"/>
      <c r="D4" s="1" t="s">
        <v>157</v>
      </c>
      <c r="E4" s="15">
        <v>44476</v>
      </c>
      <c r="F4" s="1" t="s">
        <v>10</v>
      </c>
      <c r="G4" s="2">
        <v>27164874</v>
      </c>
      <c r="H4" s="3" t="s">
        <v>61</v>
      </c>
      <c r="I4" s="1" t="s">
        <v>116</v>
      </c>
      <c r="J4" s="16">
        <v>34366</v>
      </c>
      <c r="K4" s="1" t="s">
        <v>158</v>
      </c>
      <c r="L4" s="3" t="s">
        <v>17</v>
      </c>
      <c r="M4" s="4" t="s">
        <v>47</v>
      </c>
    </row>
    <row r="5" spans="1:13" x14ac:dyDescent="0.3">
      <c r="B5" s="1" t="s">
        <v>59</v>
      </c>
      <c r="C5" s="1" t="s">
        <v>60</v>
      </c>
      <c r="D5" s="1" t="s">
        <v>58</v>
      </c>
      <c r="E5" s="15">
        <v>43831</v>
      </c>
      <c r="F5" s="1" t="s">
        <v>10</v>
      </c>
      <c r="G5" s="2">
        <v>26574656</v>
      </c>
      <c r="H5" s="3" t="s">
        <v>61</v>
      </c>
      <c r="I5" s="1" t="s">
        <v>116</v>
      </c>
      <c r="J5" s="16" t="s">
        <v>62</v>
      </c>
      <c r="K5" s="1" t="s">
        <v>63</v>
      </c>
      <c r="L5" s="3" t="s">
        <v>17</v>
      </c>
      <c r="M5" s="4" t="s">
        <v>47</v>
      </c>
    </row>
    <row r="6" spans="1:13" x14ac:dyDescent="0.3">
      <c r="B6" s="1" t="s">
        <v>65</v>
      </c>
      <c r="C6" s="1" t="s">
        <v>66</v>
      </c>
      <c r="D6" s="1" t="s">
        <v>64</v>
      </c>
      <c r="E6" s="15">
        <v>44207</v>
      </c>
      <c r="F6" s="1" t="s">
        <v>10</v>
      </c>
      <c r="G6" s="2">
        <v>20261288</v>
      </c>
      <c r="H6" s="3">
        <v>1</v>
      </c>
      <c r="I6" s="1" t="s">
        <v>115</v>
      </c>
      <c r="J6" s="16" t="s">
        <v>67</v>
      </c>
      <c r="K6" s="1" t="s">
        <v>68</v>
      </c>
      <c r="L6" s="3" t="s">
        <v>17</v>
      </c>
      <c r="M6" s="4" t="s">
        <v>47</v>
      </c>
    </row>
    <row r="7" spans="1:13" x14ac:dyDescent="0.3">
      <c r="B7" s="1" t="s">
        <v>54</v>
      </c>
      <c r="C7" s="1" t="s">
        <v>55</v>
      </c>
      <c r="D7" s="1" t="s">
        <v>53</v>
      </c>
      <c r="E7" s="15">
        <v>44166</v>
      </c>
      <c r="F7" s="1" t="s">
        <v>3</v>
      </c>
      <c r="G7" s="2">
        <v>113072747</v>
      </c>
      <c r="H7" s="3"/>
      <c r="I7" s="1" t="s">
        <v>116</v>
      </c>
      <c r="J7" s="16" t="s">
        <v>56</v>
      </c>
      <c r="K7" s="1" t="s">
        <v>57</v>
      </c>
      <c r="L7" s="3" t="s">
        <v>17</v>
      </c>
      <c r="M7" s="4" t="s">
        <v>47</v>
      </c>
    </row>
  </sheetData>
  <conditionalFormatting sqref="L7">
    <cfRule type="expression" dxfId="0" priority="1">
      <formula>IF(OR(L7="M",L7="m",L7="F",L7="f"),FALSE,TRUE)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3B228-1685-40D2-8AED-F3677891142F}">
  <dimension ref="A1:E25"/>
  <sheetViews>
    <sheetView workbookViewId="0">
      <selection activeCell="F13" sqref="F13"/>
    </sheetView>
  </sheetViews>
  <sheetFormatPr baseColWidth="10" defaultColWidth="22.5546875" defaultRowHeight="12.75" customHeight="1" x14ac:dyDescent="0.3"/>
  <cols>
    <col min="1" max="1" width="9.88671875" style="9" customWidth="1"/>
    <col min="2" max="2" width="10.6640625" style="9" customWidth="1"/>
    <col min="3" max="3" width="3.5546875" style="6" customWidth="1"/>
    <col min="4" max="4" width="11.5546875" style="6" customWidth="1"/>
    <col min="5" max="5" width="10" style="6" customWidth="1"/>
    <col min="6" max="16384" width="22.5546875" style="6"/>
  </cols>
  <sheetData>
    <row r="1" spans="1:5" ht="12.75" customHeight="1" x14ac:dyDescent="0.3">
      <c r="A1" s="124" t="s">
        <v>297</v>
      </c>
      <c r="B1" s="125"/>
      <c r="D1" s="124" t="s">
        <v>288</v>
      </c>
      <c r="E1" s="125"/>
    </row>
    <row r="2" spans="1:5" ht="12.75" customHeight="1" x14ac:dyDescent="0.3">
      <c r="A2" s="10" t="s">
        <v>33</v>
      </c>
      <c r="B2" s="11" t="s">
        <v>33</v>
      </c>
      <c r="D2" s="10" t="s">
        <v>82</v>
      </c>
      <c r="E2" s="11" t="s">
        <v>298</v>
      </c>
    </row>
    <row r="3" spans="1:5" ht="12.75" customHeight="1" x14ac:dyDescent="0.3">
      <c r="A3" s="7"/>
      <c r="B3" s="7"/>
      <c r="D3" s="7"/>
      <c r="E3" s="7"/>
    </row>
    <row r="4" spans="1:5" ht="12.75" customHeight="1" x14ac:dyDescent="0.3">
      <c r="A4" s="124" t="s">
        <v>280</v>
      </c>
      <c r="B4" s="125"/>
      <c r="D4" s="124" t="s">
        <v>300</v>
      </c>
      <c r="E4" s="125"/>
    </row>
    <row r="5" spans="1:5" ht="12.75" customHeight="1" x14ac:dyDescent="0.3">
      <c r="A5" s="10" t="s">
        <v>282</v>
      </c>
      <c r="B5" s="11" t="s">
        <v>299</v>
      </c>
      <c r="D5" s="10" t="s">
        <v>301</v>
      </c>
      <c r="E5" s="11" t="s">
        <v>302</v>
      </c>
    </row>
    <row r="6" spans="1:5" ht="12.75" customHeight="1" x14ac:dyDescent="0.3">
      <c r="A6" s="7"/>
      <c r="B6" s="7"/>
      <c r="D6" s="7"/>
      <c r="E6" s="7"/>
    </row>
    <row r="7" spans="1:5" ht="12.75" customHeight="1" x14ac:dyDescent="0.3">
      <c r="A7" s="124" t="s">
        <v>303</v>
      </c>
      <c r="B7" s="125"/>
      <c r="D7" s="124" t="s">
        <v>305</v>
      </c>
      <c r="E7" s="125"/>
    </row>
    <row r="8" spans="1:5" ht="12.75" customHeight="1" x14ac:dyDescent="0.3">
      <c r="A8" s="10" t="s">
        <v>103</v>
      </c>
      <c r="B8" s="11" t="s">
        <v>304</v>
      </c>
      <c r="D8" s="10" t="s">
        <v>306</v>
      </c>
      <c r="E8" s="11" t="s">
        <v>307</v>
      </c>
    </row>
    <row r="9" spans="1:5" ht="12.75" customHeight="1" x14ac:dyDescent="0.3">
      <c r="A9" s="7"/>
      <c r="B9" s="7"/>
      <c r="D9" s="7"/>
      <c r="E9" s="7"/>
    </row>
    <row r="10" spans="1:5" ht="12.75" customHeight="1" x14ac:dyDescent="0.3">
      <c r="A10" s="124" t="s">
        <v>308</v>
      </c>
      <c r="B10" s="125"/>
      <c r="D10" s="124" t="s">
        <v>227</v>
      </c>
      <c r="E10" s="125"/>
    </row>
    <row r="11" spans="1:5" ht="12.75" customHeight="1" x14ac:dyDescent="0.3">
      <c r="A11" s="10" t="s">
        <v>309</v>
      </c>
      <c r="B11" s="11" t="s">
        <v>310</v>
      </c>
      <c r="D11" s="10" t="s">
        <v>216</v>
      </c>
      <c r="E11" s="11" t="s">
        <v>217</v>
      </c>
    </row>
    <row r="12" spans="1:5" ht="12.75" customHeight="1" x14ac:dyDescent="0.3">
      <c r="A12" s="7"/>
      <c r="B12" s="7"/>
      <c r="D12" s="7"/>
      <c r="E12" s="7"/>
    </row>
    <row r="13" spans="1:5" ht="12.75" customHeight="1" x14ac:dyDescent="0.3">
      <c r="A13" s="124" t="s">
        <v>311</v>
      </c>
      <c r="B13" s="125"/>
      <c r="D13" s="126" t="s">
        <v>313</v>
      </c>
      <c r="E13" s="127"/>
    </row>
    <row r="14" spans="1:5" ht="12.75" customHeight="1" x14ac:dyDescent="0.3">
      <c r="A14" s="10" t="s">
        <v>312</v>
      </c>
      <c r="B14" s="11" t="s">
        <v>167</v>
      </c>
      <c r="D14" s="12" t="s">
        <v>314</v>
      </c>
      <c r="E14" s="13" t="s">
        <v>315</v>
      </c>
    </row>
    <row r="15" spans="1:5" ht="12.75" customHeight="1" x14ac:dyDescent="0.3">
      <c r="A15" s="7"/>
      <c r="B15" s="7"/>
      <c r="D15" s="8"/>
      <c r="E15" s="8"/>
    </row>
    <row r="16" spans="1:5" ht="12.75" customHeight="1" x14ac:dyDescent="0.3">
      <c r="A16" s="124"/>
      <c r="B16" s="125"/>
      <c r="D16" s="124"/>
      <c r="E16" s="125"/>
    </row>
    <row r="17" spans="1:5" ht="12.75" customHeight="1" x14ac:dyDescent="0.3">
      <c r="A17" s="10"/>
      <c r="B17" s="11"/>
      <c r="D17" s="10"/>
      <c r="E17" s="11"/>
    </row>
    <row r="18" spans="1:5" ht="12.75" customHeight="1" x14ac:dyDescent="0.3">
      <c r="A18" s="7"/>
      <c r="B18" s="7"/>
      <c r="D18" s="7"/>
      <c r="E18" s="7"/>
    </row>
    <row r="19" spans="1:5" ht="12.75" customHeight="1" x14ac:dyDescent="0.3">
      <c r="A19" s="124"/>
      <c r="B19" s="125"/>
      <c r="D19" s="124"/>
      <c r="E19" s="125"/>
    </row>
    <row r="20" spans="1:5" ht="12.75" customHeight="1" x14ac:dyDescent="0.3">
      <c r="A20" s="10"/>
      <c r="B20" s="11"/>
      <c r="D20" s="10"/>
      <c r="E20" s="11"/>
    </row>
    <row r="21" spans="1:5" ht="12.75" customHeight="1" x14ac:dyDescent="0.3">
      <c r="A21" s="7"/>
      <c r="B21" s="7"/>
      <c r="D21" s="7"/>
      <c r="E21" s="7"/>
    </row>
    <row r="22" spans="1:5" ht="12.75" customHeight="1" x14ac:dyDescent="0.3">
      <c r="A22" s="124"/>
      <c r="B22" s="125"/>
      <c r="D22" s="124"/>
      <c r="E22" s="125"/>
    </row>
    <row r="23" spans="1:5" ht="12.75" customHeight="1" x14ac:dyDescent="0.3">
      <c r="A23" s="10"/>
      <c r="B23" s="11"/>
      <c r="D23" s="10"/>
      <c r="E23" s="11"/>
    </row>
    <row r="24" spans="1:5" ht="12.75" customHeight="1" x14ac:dyDescent="0.3">
      <c r="A24" s="7"/>
      <c r="B24" s="7"/>
      <c r="D24" s="7"/>
      <c r="E24" s="7"/>
    </row>
    <row r="25" spans="1:5" ht="12.75" customHeight="1" x14ac:dyDescent="0.3">
      <c r="D25" s="7"/>
      <c r="E25" s="7"/>
    </row>
  </sheetData>
  <mergeCells count="16">
    <mergeCell ref="A22:B22"/>
    <mergeCell ref="A19:B19"/>
    <mergeCell ref="A16:B16"/>
    <mergeCell ref="D22:E22"/>
    <mergeCell ref="D19:E19"/>
    <mergeCell ref="D16:E16"/>
    <mergeCell ref="D13:E13"/>
    <mergeCell ref="D10:E10"/>
    <mergeCell ref="D7:E7"/>
    <mergeCell ref="D4:E4"/>
    <mergeCell ref="D1:E1"/>
    <mergeCell ref="A1:B1"/>
    <mergeCell ref="A4:B4"/>
    <mergeCell ref="A7:B7"/>
    <mergeCell ref="A10:B10"/>
    <mergeCell ref="A13:B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FARMACIA</vt:lpstr>
      <vt:lpstr>Vacaciones</vt:lpstr>
      <vt:lpstr>PART TIME</vt:lpstr>
      <vt:lpstr>EX FUNCIONARIOS</vt:lpstr>
      <vt:lpstr>PERFUMERIA</vt:lpstr>
      <vt:lpstr>Fichas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Luis Salamanca</dc:creator>
  <cp:lastModifiedBy>Juan Luis Salamanca Lecaros</cp:lastModifiedBy>
  <cp:lastPrinted>2025-05-02T00:21:49Z</cp:lastPrinted>
  <dcterms:created xsi:type="dcterms:W3CDTF">2021-02-13T21:41:20Z</dcterms:created>
  <dcterms:modified xsi:type="dcterms:W3CDTF">2026-09-03T12:53:08Z</dcterms:modified>
</cp:coreProperties>
</file>